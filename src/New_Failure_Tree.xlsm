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zlocki\Desktop\PowerBi_DB\3 OrbitalX_OEE_Automate\"/>
    </mc:Choice>
  </mc:AlternateContent>
  <xr:revisionPtr revIDLastSave="0" documentId="13_ncr:1_{C542FDDE-B452-47BC-95A3-9B8C821F9759}" xr6:coauthVersionLast="47" xr6:coauthVersionMax="47" xr10:uidLastSave="{00000000-0000-0000-0000-000000000000}"/>
  <bookViews>
    <workbookView xWindow="-67320" yWindow="-120" windowWidth="28110" windowHeight="16440" firstSheet="1" activeTab="1" xr2:uid="{00000000-000D-0000-FFFF-FFFF00000000}"/>
  </bookViews>
  <sheets>
    <sheet name="Targety" sheetId="11" state="hidden" r:id="rId1"/>
    <sheet name="New_Tree_Concept 2.0" sheetId="33" r:id="rId2"/>
    <sheet name="New_Tree_Concept 1.0" sheetId="32" r:id="rId3"/>
    <sheet name="Sheet7" sheetId="8" state="hidden" r:id="rId4"/>
    <sheet name="4OP" sheetId="2" state="hidden" r:id="rId5"/>
    <sheet name="5OP" sheetId="4" state="hidden" r:id="rId6"/>
    <sheet name="6OP" sheetId="5" state="hidden" r:id="rId7"/>
    <sheet name="8OP" sheetId="6" state="hidden" r:id="rId8"/>
  </sheets>
  <definedNames>
    <definedName name="_xlnm._FilterDatabase" localSheetId="1" hidden="1">'New_Tree_Concept 2.0'!$A$1:$D$109</definedName>
    <definedName name="Awaria" localSheetId="0">#REF!</definedName>
    <definedName name="Awaria">#REF!</definedName>
    <definedName name="IT_Problem" localSheetId="0">#REF!</definedName>
    <definedName name="IT_Problem">#REF!</definedName>
    <definedName name="Jakość" localSheetId="0">#REF!</definedName>
    <definedName name="Jakość">#REF!</definedName>
    <definedName name="Oczekwianie" localSheetId="0">#REF!</definedName>
    <definedName name="Oczekwianie">#REF!</definedName>
    <definedName name="Odwołanie_Zmiany" localSheetId="0">#REF!</definedName>
    <definedName name="Odwołanie_Zmiany">#REF!</definedName>
    <definedName name="Ogolne_Linia" localSheetId="0">#REF!</definedName>
    <definedName name="Ogolne_Linia">#REF!</definedName>
    <definedName name="Personel" localSheetId="0">#REF!</definedName>
    <definedName name="Personel">#REF!</definedName>
    <definedName name="Przegląd_Serwis" localSheetId="0">#REF!</definedName>
    <definedName name="Przegląd_Serwis">#REF!</definedName>
    <definedName name="Przezbrojenie" localSheetId="0">#REF!</definedName>
    <definedName name="Przezbrojenie">#REF!</definedName>
    <definedName name="SPC_TPM" localSheetId="0">#REF!</definedName>
    <definedName name="SPC_TPM">#REF!</definedName>
    <definedName name="Szkolenie_Spotkanie" localSheetId="0">#REF!</definedName>
    <definedName name="Szkolenie_Spotkanie">#REF!</definedName>
    <definedName name="Testy" localSheetId="0">#REF!</definedName>
    <definedName name="Testy">#REF!</definedName>
  </definedNames>
  <calcPr calcId="191029"/>
  <pivotCaches>
    <pivotCache cacheId="4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2" i="11" l="1"/>
  <c r="L2" i="11"/>
  <c r="K3" i="11"/>
  <c r="L3" i="11"/>
</calcChain>
</file>

<file path=xl/sharedStrings.xml><?xml version="1.0" encoding="utf-8"?>
<sst xmlns="http://schemas.openxmlformats.org/spreadsheetml/2006/main" count="947" uniqueCount="220">
  <si>
    <t>Data</t>
  </si>
  <si>
    <t>Sztuki NOK</t>
  </si>
  <si>
    <t>1400-1500</t>
  </si>
  <si>
    <t>1500-1600</t>
  </si>
  <si>
    <t>1600-1700</t>
  </si>
  <si>
    <t>1700-1800</t>
  </si>
  <si>
    <t>1800-1900</t>
  </si>
  <si>
    <t>1900-2000</t>
  </si>
  <si>
    <t>2000-2100</t>
  </si>
  <si>
    <t>2100-2200</t>
  </si>
  <si>
    <t>2200-2300</t>
  </si>
  <si>
    <t>2300-0000</t>
  </si>
  <si>
    <t>0000-0100</t>
  </si>
  <si>
    <t>0100-0200</t>
  </si>
  <si>
    <t>0200-0300</t>
  </si>
  <si>
    <t>0300-0400</t>
  </si>
  <si>
    <t>0400-0500</t>
  </si>
  <si>
    <t>0500-0600</t>
  </si>
  <si>
    <t>0600-0700</t>
  </si>
  <si>
    <t>0700-0800</t>
  </si>
  <si>
    <t>0800-0900</t>
  </si>
  <si>
    <t>0900-1000</t>
  </si>
  <si>
    <t>1000-1100</t>
  </si>
  <si>
    <t>1100-1200</t>
  </si>
  <si>
    <t>1200-1300</t>
  </si>
  <si>
    <t>1300-1400</t>
  </si>
  <si>
    <t>(A)Bez zaworu</t>
  </si>
  <si>
    <t>(B)Nextgen, standard z zaworem</t>
  </si>
  <si>
    <t>(C)Nextgen, z łożyskiem</t>
  </si>
  <si>
    <t>(D)Bosch</t>
  </si>
  <si>
    <t>(E)Żaby</t>
  </si>
  <si>
    <t>Powód</t>
  </si>
  <si>
    <t>Komentarz</t>
  </si>
  <si>
    <t>Stracony czas</t>
  </si>
  <si>
    <t>Przyczyna</t>
  </si>
  <si>
    <t>Awaria</t>
  </si>
  <si>
    <t>SPC/TPM</t>
  </si>
  <si>
    <t>Przezbrojenie</t>
  </si>
  <si>
    <t>Testy</t>
  </si>
  <si>
    <t>stacja 10 - zaworki</t>
  </si>
  <si>
    <t>gear set</t>
  </si>
  <si>
    <t>dokręcanie pokrywy End Cover</t>
  </si>
  <si>
    <t>stacja 70</t>
  </si>
  <si>
    <t>test powietrzny</t>
  </si>
  <si>
    <t>test wizyjny</t>
  </si>
  <si>
    <t>SPC_TPM</t>
  </si>
  <si>
    <t>D</t>
  </si>
  <si>
    <t>4 OPERATORÓW</t>
  </si>
  <si>
    <t>BOSCH</t>
  </si>
  <si>
    <t>Orbital X 
(OMR X, OMP X, OMPWX)</t>
  </si>
  <si>
    <t>Orbital X N (z łożyskiem)</t>
  </si>
  <si>
    <t>Żaby</t>
  </si>
  <si>
    <t>I zm</t>
  </si>
  <si>
    <t>5 OPERATORÓW</t>
  </si>
  <si>
    <t>Orbital X (OMR X, OMP X, OMPWX)</t>
  </si>
  <si>
    <t>8 OPERATORÓW</t>
  </si>
  <si>
    <t>6 OPERATORÓW</t>
  </si>
  <si>
    <t>BLE</t>
  </si>
  <si>
    <t>F</t>
  </si>
  <si>
    <t>AA</t>
  </si>
  <si>
    <t>S</t>
  </si>
  <si>
    <t>FFFF</t>
  </si>
  <si>
    <t>AAA</t>
  </si>
  <si>
    <t>Row Labels</t>
  </si>
  <si>
    <t>Grand Total</t>
  </si>
  <si>
    <t>Count of Komentarz</t>
  </si>
  <si>
    <t>Count of Sztuki NOK</t>
  </si>
  <si>
    <t>Sum of Stracony czas</t>
  </si>
  <si>
    <t>Nextgen, standard</t>
  </si>
  <si>
    <t>Nextgen, z łożyskiem</t>
  </si>
  <si>
    <t>Nextgen, z zaworem</t>
  </si>
  <si>
    <t>Speedsensor - podmontaż</t>
  </si>
  <si>
    <t>Żaby - podmontaż</t>
  </si>
  <si>
    <t>Max/h</t>
  </si>
  <si>
    <t>Max/zmiana</t>
  </si>
  <si>
    <t>Wąskie gardło</t>
  </si>
  <si>
    <t>Inne</t>
  </si>
  <si>
    <t>Oczekiwanie na detale</t>
  </si>
  <si>
    <t>Stacja 20 - praska</t>
  </si>
  <si>
    <t>Stacja 41 - dokręcanie śub</t>
  </si>
  <si>
    <t>Stacja 50 - test szczelności</t>
  </si>
  <si>
    <t>Stacja 55 - winda</t>
  </si>
  <si>
    <t>Stacja 60 - stacja hydr</t>
  </si>
  <si>
    <t>Stacja 70 - stacja napraw</t>
  </si>
  <si>
    <t>Stacja 80 - dokręcanie korków</t>
  </si>
  <si>
    <t>Jakość detali</t>
  </si>
  <si>
    <t>Stacja 10 - załadunek paletki</t>
  </si>
  <si>
    <t>Nie dostarczono detalu z magazynu</t>
  </si>
  <si>
    <t>Powody zatrzymania linii</t>
  </si>
  <si>
    <t>Spotkanie z koordynatorem</t>
  </si>
  <si>
    <t>Test wizyjny - nie działa</t>
  </si>
  <si>
    <t>Stacja 30 - montaż wkładu / pokrywy</t>
  </si>
  <si>
    <t>Stacja 40 - montaż śrub</t>
  </si>
  <si>
    <t>KUKA - zawieszenie się robota</t>
  </si>
  <si>
    <t>KUKA - zabrała motor z adapterem</t>
  </si>
  <si>
    <t>KUKA - nie pobiera ze stacji napraw</t>
  </si>
  <si>
    <t>KUKA - nie pobiera motorów ze stacji hydraulicznej</t>
  </si>
  <si>
    <t>KUKA - upuścił motor</t>
  </si>
  <si>
    <t>KUKA - error log</t>
  </si>
  <si>
    <t>Cela I - zawieszenie się celi</t>
  </si>
  <si>
    <t>Cela I - error log</t>
  </si>
  <si>
    <t>Cela I - motor zablokowany w celi</t>
  </si>
  <si>
    <t>Cela I - inne</t>
  </si>
  <si>
    <t>Cela II - zawieszenie się celi</t>
  </si>
  <si>
    <t>Cela II - error log</t>
  </si>
  <si>
    <t>Cela II - motor zablokowany w celi</t>
  </si>
  <si>
    <t>Cela II - inne</t>
  </si>
  <si>
    <t>Ateq - awaria</t>
  </si>
  <si>
    <t>Paletka - zawieszenie</t>
  </si>
  <si>
    <t>Wadliwe komponenty</t>
  </si>
  <si>
    <t>Oczekiwanie na nowe komponenty</t>
  </si>
  <si>
    <t>Logistyka</t>
  </si>
  <si>
    <t>Inne zatrzymanie linii</t>
  </si>
  <si>
    <t xml:space="preserve">Wadliwe komponenty </t>
  </si>
  <si>
    <t>Sprzątenie linii / stanowisk</t>
  </si>
  <si>
    <t>Dodatkowa przerwa operatora</t>
  </si>
  <si>
    <t>Brak operatora na linii</t>
  </si>
  <si>
    <t>Paletka - zacięcie się paletki</t>
  </si>
  <si>
    <t>Chwytak - awaria</t>
  </si>
  <si>
    <t>Test wizyjny - O-Ring błąd</t>
  </si>
  <si>
    <t>Paletki - nie jadą / zacięcie</t>
  </si>
  <si>
    <t xml:space="preserve">Winda - awaria </t>
  </si>
  <si>
    <t>Paletka - zablokowana paletka</t>
  </si>
  <si>
    <t>Test wizyjny - inny błąd</t>
  </si>
  <si>
    <t>Test wizyjny - błyszczące pokrywy</t>
  </si>
  <si>
    <t xml:space="preserve">Nolek - zawieszenie </t>
  </si>
  <si>
    <t>Nolek - przedłużony test szczelności</t>
  </si>
  <si>
    <t>Manipulator - upuścił sztukę</t>
  </si>
  <si>
    <t>Manipulator - krzywo włożył sztukę do gniazda</t>
  </si>
  <si>
    <t>Manipulator - inne problemy</t>
  </si>
  <si>
    <t>Stacja - zawieszenie na drenie</t>
  </si>
  <si>
    <t>Stacja - zawieszenie na śrubie</t>
  </si>
  <si>
    <t>Stacja - inne  zawieszenie</t>
  </si>
  <si>
    <t>Nolek - duży odpad sztuk</t>
  </si>
  <si>
    <t>Nolek - inne problemy</t>
  </si>
  <si>
    <t>Stacja - zablokowanie</t>
  </si>
  <si>
    <t>Winda - zablokowanie</t>
  </si>
  <si>
    <t>Cela II - praca na jedną stację</t>
  </si>
  <si>
    <t>Cela II - wydłużony test czystość</t>
  </si>
  <si>
    <t>Cela I - wydłużony test czystość</t>
  </si>
  <si>
    <t>Cela I - praca na jedną stację</t>
  </si>
  <si>
    <t>KUKA - inne</t>
  </si>
  <si>
    <t>Filtry - wymiana filtrów stacji</t>
  </si>
  <si>
    <t>Ateq - duża ilość odpadu</t>
  </si>
  <si>
    <t>Stoper - awaria</t>
  </si>
  <si>
    <t>Klucz pneumatyczny - awaria</t>
  </si>
  <si>
    <t>Selekcja komponentów na linii</t>
  </si>
  <si>
    <t>Zaplanowana interwencja DUR</t>
  </si>
  <si>
    <t>Próby technologiczne (ISIR, Assembly test)</t>
  </si>
  <si>
    <t>Szkolenie operatora</t>
  </si>
  <si>
    <t>IT Problem - zawieszenie komputera / restart</t>
  </si>
  <si>
    <t>Test wizyjny - cardan błąd</t>
  </si>
  <si>
    <t>Test wizyjny - gearSet błąd</t>
  </si>
  <si>
    <t>Test wizyjny - korpus błąd</t>
  </si>
  <si>
    <t>Test wizyjny - pin błąd</t>
  </si>
  <si>
    <t>Test wizyjny - shaft błąd</t>
  </si>
  <si>
    <t>Praska - inne zawieszenia</t>
  </si>
  <si>
    <t>Praska - korpus zawieszenie</t>
  </si>
  <si>
    <t>Praska - łożysko zawieszenie</t>
  </si>
  <si>
    <t>Praska - uszczelnienie zawieszenie</t>
  </si>
  <si>
    <t>Praska - wałek zawieszenie</t>
  </si>
  <si>
    <t>Test wizyjny - błąd</t>
  </si>
  <si>
    <t>Układ smarowania - awaria układu</t>
  </si>
  <si>
    <t>Układ smarowania - pompa awaria</t>
  </si>
  <si>
    <t>Drukarka - awaria</t>
  </si>
  <si>
    <t>Drukarka - wymiana papieru / cover film</t>
  </si>
  <si>
    <t>Test wizyjny - awaria</t>
  </si>
  <si>
    <t>Brak w drzewie - patrz opis</t>
  </si>
  <si>
    <t>Awaria - Duży odpad na stacji prób</t>
  </si>
  <si>
    <t>Stacja hydr - duży odpad  sztuk</t>
  </si>
  <si>
    <t>Awaria - duży odpad na stacji szczelność</t>
  </si>
  <si>
    <t xml:space="preserve">Wadliwe / pomylone komponent </t>
  </si>
  <si>
    <t>Test wizyjny - inne błąd</t>
  </si>
  <si>
    <t>Paletka</t>
  </si>
  <si>
    <t>Test wizyjny</t>
  </si>
  <si>
    <t>IT Problem</t>
  </si>
  <si>
    <t>Chwytak</t>
  </si>
  <si>
    <t>Praska</t>
  </si>
  <si>
    <t>Układ smarowania</t>
  </si>
  <si>
    <t>Drukarka</t>
  </si>
  <si>
    <t>Paletki</t>
  </si>
  <si>
    <t>Winda</t>
  </si>
  <si>
    <t>Manipulator</t>
  </si>
  <si>
    <t>Nolek</t>
  </si>
  <si>
    <t>Stacja 41</t>
  </si>
  <si>
    <t>Stacja 50</t>
  </si>
  <si>
    <t>Cela II</t>
  </si>
  <si>
    <t xml:space="preserve">Cela I </t>
  </si>
  <si>
    <t>Filtry</t>
  </si>
  <si>
    <t>KUKA</t>
  </si>
  <si>
    <t>Ateq</t>
  </si>
  <si>
    <t>Klucz pneumatyczny</t>
  </si>
  <si>
    <t>Stoper</t>
  </si>
  <si>
    <t xml:space="preserve">Paletka </t>
  </si>
  <si>
    <t xml:space="preserve">IT Problem </t>
  </si>
  <si>
    <t>Komponenty</t>
  </si>
  <si>
    <t>Komponenty - selekcja</t>
  </si>
  <si>
    <t>Stacja hydrauliczna</t>
  </si>
  <si>
    <t>Brak detali</t>
  </si>
  <si>
    <t>Walidwe / pomylone</t>
  </si>
  <si>
    <t>Operator</t>
  </si>
  <si>
    <t>Technolog</t>
  </si>
  <si>
    <t>DUR</t>
  </si>
  <si>
    <t>Sztuki z piaskowania</t>
  </si>
  <si>
    <t>Sztuki z piaskowania - dodatkowa praca stacja 70</t>
  </si>
  <si>
    <t>Zapełnianie linii komponentami</t>
  </si>
  <si>
    <t>Rework motorow</t>
  </si>
  <si>
    <t>Inne - Brak w drzewie</t>
  </si>
  <si>
    <t>Stacja 30 - Brak w drzewie</t>
  </si>
  <si>
    <t>Stacja 20 - Brak w drzewie</t>
  </si>
  <si>
    <t>Stacja 10 - Brak w drzewie</t>
  </si>
  <si>
    <t>Stacja 40 - Brak w drzewie</t>
  </si>
  <si>
    <t>Stacja 41 - Brak w drzewie</t>
  </si>
  <si>
    <t>Stacja 50 - Brak w drzewie</t>
  </si>
  <si>
    <t>Stacja 55 - Brak w drzewie</t>
  </si>
  <si>
    <t>Stacja 60 - Brak w drzewie</t>
  </si>
  <si>
    <t>Stacja 70 - Brak w drzewie</t>
  </si>
  <si>
    <t>Stacja 80 - Brak w drzewie</t>
  </si>
  <si>
    <t>Jakość - Wadliwe komponenty</t>
  </si>
  <si>
    <t>Logistyka - Oczekiwanie na detale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</si>
</sst>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Minion Pro"/>
      <family val="2"/>
      <charset val="238"/>
    </font>
    <font>
      <sz val="8"/>
      <name val="Minion Pro"/>
      <family val="2"/>
      <charset val="238"/>
    </font>
    <font>
      <b/>
      <sz val="24"/>
      <color theme="1"/>
      <name val="Minion Pro"/>
      <family val="1"/>
    </font>
    <font>
      <sz val="11"/>
      <color theme="1"/>
      <name val="Minion Pro"/>
      <family val="1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49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" xfId="0" applyBorder="1"/>
    <xf numFmtId="0" fontId="0" fillId="0" borderId="0" xfId="0"/>
    <xf numFmtId="9" fontId="0" fillId="0" borderId="1" xfId="0" applyNumberFormat="1" applyBorder="1"/>
    <xf numFmtId="1" fontId="0" fillId="0" borderId="1" xfId="0" applyNumberFormat="1" applyBorder="1"/>
    <xf numFmtId="0" fontId="3" fillId="2" borderId="1" xfId="0" applyFont="1" applyFill="1" applyBorder="1"/>
    <xf numFmtId="0" fontId="2" fillId="0" borderId="1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tryk Pawliczak" refreshedDate="44411.641519444442" createdVersion="6" refreshedVersion="6" minRefreshableVersion="3" recordCount="7" xr:uid="{00000000-000A-0000-FFFF-FFFF01000000}">
  <cacheSource type="worksheet">
    <worksheetSource ref="B1:F8" sheet="Sheet7"/>
  </cacheSource>
  <cacheFields count="5">
    <cacheField name="Przyczyna" numFmtId="0">
      <sharedItems count="4">
        <s v="Przezbrojenie"/>
        <s v="Awaria"/>
        <s v="SPC_TPM"/>
        <s v="Testy"/>
      </sharedItems>
    </cacheField>
    <cacheField name="Powód" numFmtId="0">
      <sharedItems count="7">
        <s v="gear set"/>
        <s v="stacja 70"/>
        <s v="dokręcanie pokrywy End Cover"/>
        <s v="stacja 10 - zaworki"/>
        <s v="SPC/TPM"/>
        <s v="test wizyjny"/>
        <s v="test powietrzny"/>
      </sharedItems>
    </cacheField>
    <cacheField name="Komentarz" numFmtId="0">
      <sharedItems count="7">
        <s v="BLE"/>
        <s v="F"/>
        <s v="D"/>
        <s v="S"/>
        <s v="AA"/>
        <s v="FFFF"/>
        <s v="AAA"/>
      </sharedItems>
    </cacheField>
    <cacheField name="Sztuki NOK" numFmtId="0">
      <sharedItems containsNonDate="0" containsString="0" containsBlank="1" count="1">
        <m/>
      </sharedItems>
    </cacheField>
    <cacheField name="Stracony czas" numFmtId="0">
      <sharedItems containsSemiMixedTypes="0" containsString="0" containsNumber="1" containsInteger="1" minValue="10" maxValue="34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">
  <r>
    <x v="0"/>
    <x v="0"/>
    <x v="0"/>
    <x v="0"/>
    <n v="10"/>
  </r>
  <r>
    <x v="0"/>
    <x v="1"/>
    <x v="1"/>
    <x v="0"/>
    <n v="15"/>
  </r>
  <r>
    <x v="1"/>
    <x v="2"/>
    <x v="2"/>
    <x v="0"/>
    <n v="51"/>
  </r>
  <r>
    <x v="1"/>
    <x v="3"/>
    <x v="3"/>
    <x v="0"/>
    <n v="25"/>
  </r>
  <r>
    <x v="2"/>
    <x v="4"/>
    <x v="4"/>
    <x v="0"/>
    <n v="341"/>
  </r>
  <r>
    <x v="3"/>
    <x v="5"/>
    <x v="5"/>
    <x v="0"/>
    <n v="52"/>
  </r>
  <r>
    <x v="0"/>
    <x v="6"/>
    <x v="6"/>
    <x v="0"/>
    <n v="6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300-000000000000}" name="PivotTable1" cacheId="4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I3:L15" firstHeaderRow="0" firstDataRow="1" firstDataCol="1"/>
  <pivotFields count="5">
    <pivotField axis="axisRow" showAll="0">
      <items count="5">
        <item x="1"/>
        <item x="0"/>
        <item x="2"/>
        <item x="3"/>
        <item t="default"/>
      </items>
    </pivotField>
    <pivotField axis="axisRow" showAll="0">
      <items count="8">
        <item x="2"/>
        <item x="0"/>
        <item x="4"/>
        <item x="3"/>
        <item x="1"/>
        <item x="6"/>
        <item x="5"/>
        <item t="default"/>
      </items>
    </pivotField>
    <pivotField dataField="1" showAll="0">
      <items count="8">
        <item x="4"/>
        <item x="6"/>
        <item x="0"/>
        <item x="2"/>
        <item x="1"/>
        <item x="5"/>
        <item x="3"/>
        <item t="default"/>
      </items>
    </pivotField>
    <pivotField dataField="1" showAll="0">
      <items count="2">
        <item x="0"/>
        <item t="default"/>
      </items>
    </pivotField>
    <pivotField dataField="1" showAll="0"/>
  </pivotFields>
  <rowFields count="2">
    <field x="0"/>
    <field x="1"/>
  </rowFields>
  <rowItems count="12">
    <i>
      <x/>
    </i>
    <i r="1">
      <x/>
    </i>
    <i r="1">
      <x v="3"/>
    </i>
    <i>
      <x v="1"/>
    </i>
    <i r="1">
      <x v="1"/>
    </i>
    <i r="1">
      <x v="4"/>
    </i>
    <i r="1">
      <x v="5"/>
    </i>
    <i>
      <x v="2"/>
    </i>
    <i r="1">
      <x v="2"/>
    </i>
    <i>
      <x v="3"/>
    </i>
    <i r="1">
      <x v="6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Count of Sztuki NOK" fld="3" subtotal="count" baseField="0" baseItem="0"/>
    <dataField name="Sum of Stracony czas" fld="4" baseField="0" baseItem="0"/>
    <dataField name="Count of Komentarz" fld="2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96D2A4-B569-43D1-9358-C74FE1E834B5}">
  <sheetPr codeName="Sheet10"/>
  <dimension ref="A1:P10"/>
  <sheetViews>
    <sheetView workbookViewId="0">
      <selection activeCell="I14" sqref="I14"/>
    </sheetView>
  </sheetViews>
  <sheetFormatPr defaultRowHeight="15.75" x14ac:dyDescent="0.3"/>
  <cols>
    <col min="1" max="1" width="13.7109375" style="16" customWidth="1"/>
    <col min="2" max="2" width="18.5703125" style="16" customWidth="1"/>
    <col min="3" max="3" width="22.42578125" style="16" customWidth="1"/>
    <col min="4" max="4" width="18.85546875" style="16" customWidth="1"/>
    <col min="5" max="5" width="12" style="16" customWidth="1"/>
    <col min="6" max="6" width="11.28515625" style="16" customWidth="1"/>
    <col min="7" max="8" width="9.140625" style="16"/>
    <col min="9" max="9" width="23.140625" style="16" customWidth="1"/>
    <col min="10" max="10" width="15.5703125" style="16" customWidth="1"/>
    <col min="11" max="11" width="13" style="16" customWidth="1"/>
    <col min="12" max="12" width="9.42578125" style="16" bestFit="1" customWidth="1"/>
    <col min="13" max="16384" width="9.140625" style="16"/>
  </cols>
  <sheetData>
    <row r="1" spans="1:16" x14ac:dyDescent="0.3">
      <c r="I1" s="15"/>
      <c r="J1" s="15" t="s">
        <v>75</v>
      </c>
      <c r="K1" s="15" t="s">
        <v>74</v>
      </c>
      <c r="L1" s="15" t="s">
        <v>73</v>
      </c>
    </row>
    <row r="2" spans="1:16" x14ac:dyDescent="0.3">
      <c r="A2" s="15"/>
      <c r="B2" s="15" t="s">
        <v>68</v>
      </c>
      <c r="C2" s="15" t="s">
        <v>69</v>
      </c>
      <c r="D2" s="15" t="s">
        <v>70</v>
      </c>
      <c r="E2" s="15" t="s">
        <v>71</v>
      </c>
      <c r="F2" s="15" t="s">
        <v>72</v>
      </c>
      <c r="I2" s="15" t="s">
        <v>68</v>
      </c>
      <c r="J2" s="15">
        <v>72</v>
      </c>
      <c r="K2" s="15">
        <f>(7.5*60*60)/J2</f>
        <v>375</v>
      </c>
      <c r="L2" s="15">
        <f>60*60/J2</f>
        <v>50</v>
      </c>
    </row>
    <row r="3" spans="1:16" x14ac:dyDescent="0.3">
      <c r="A3" s="15" t="s">
        <v>18</v>
      </c>
      <c r="B3" s="15">
        <v>46</v>
      </c>
      <c r="C3" s="15">
        <v>38</v>
      </c>
      <c r="D3" s="15">
        <v>46</v>
      </c>
      <c r="E3" s="15">
        <v>46</v>
      </c>
      <c r="F3" s="15">
        <v>46</v>
      </c>
      <c r="I3" s="15" t="s">
        <v>69</v>
      </c>
      <c r="J3" s="15">
        <v>85</v>
      </c>
      <c r="K3" s="18">
        <f>(7.5*60*60)/J3</f>
        <v>317.64705882352939</v>
      </c>
      <c r="L3" s="18">
        <f>60*60/J3</f>
        <v>42.352941176470587</v>
      </c>
    </row>
    <row r="4" spans="1:16" x14ac:dyDescent="0.3">
      <c r="A4" s="15" t="s">
        <v>19</v>
      </c>
      <c r="B4" s="15">
        <v>50</v>
      </c>
      <c r="C4" s="15">
        <v>42</v>
      </c>
      <c r="D4" s="15">
        <v>50</v>
      </c>
      <c r="E4" s="15">
        <v>50</v>
      </c>
      <c r="F4" s="15">
        <v>50</v>
      </c>
      <c r="I4" s="15" t="s">
        <v>70</v>
      </c>
      <c r="J4" s="15"/>
      <c r="K4" s="15"/>
      <c r="L4" s="15"/>
      <c r="O4" s="15">
        <v>1</v>
      </c>
      <c r="P4" s="17">
        <v>0.25</v>
      </c>
    </row>
    <row r="5" spans="1:16" x14ac:dyDescent="0.3">
      <c r="A5" s="15" t="s">
        <v>20</v>
      </c>
      <c r="B5" s="15">
        <v>50</v>
      </c>
      <c r="C5" s="15">
        <v>42</v>
      </c>
      <c r="D5" s="15">
        <v>50</v>
      </c>
      <c r="E5" s="15">
        <v>50</v>
      </c>
      <c r="F5" s="15">
        <v>50</v>
      </c>
      <c r="I5" s="15" t="s">
        <v>71</v>
      </c>
      <c r="J5" s="15"/>
      <c r="K5" s="15"/>
      <c r="L5" s="15"/>
      <c r="O5" s="15">
        <v>2</v>
      </c>
      <c r="P5" s="17">
        <v>0.5</v>
      </c>
    </row>
    <row r="6" spans="1:16" x14ac:dyDescent="0.3">
      <c r="A6" s="15" t="s">
        <v>21</v>
      </c>
      <c r="B6" s="15">
        <v>33</v>
      </c>
      <c r="C6" s="15">
        <v>28</v>
      </c>
      <c r="D6" s="15">
        <v>33</v>
      </c>
      <c r="E6" s="15">
        <v>33</v>
      </c>
      <c r="F6" s="15">
        <v>33</v>
      </c>
      <c r="I6" s="15" t="s">
        <v>72</v>
      </c>
      <c r="J6" s="15"/>
      <c r="K6" s="15"/>
      <c r="L6" s="15"/>
      <c r="O6" s="15">
        <v>3</v>
      </c>
      <c r="P6" s="17">
        <v>0.75</v>
      </c>
    </row>
    <row r="7" spans="1:16" x14ac:dyDescent="0.3">
      <c r="A7" s="15" t="s">
        <v>22</v>
      </c>
      <c r="B7" s="15">
        <v>50</v>
      </c>
      <c r="C7" s="15">
        <v>42</v>
      </c>
      <c r="D7" s="15">
        <v>50</v>
      </c>
      <c r="E7" s="15">
        <v>50</v>
      </c>
      <c r="F7" s="15">
        <v>50</v>
      </c>
      <c r="O7" s="15">
        <v>4</v>
      </c>
      <c r="P7" s="17">
        <v>1</v>
      </c>
    </row>
    <row r="8" spans="1:16" x14ac:dyDescent="0.3">
      <c r="A8" s="15" t="s">
        <v>23</v>
      </c>
      <c r="B8" s="15">
        <v>50</v>
      </c>
      <c r="C8" s="15">
        <v>42</v>
      </c>
      <c r="D8" s="15">
        <v>50</v>
      </c>
      <c r="E8" s="15">
        <v>50</v>
      </c>
      <c r="F8" s="15">
        <v>50</v>
      </c>
    </row>
    <row r="9" spans="1:16" x14ac:dyDescent="0.3">
      <c r="A9" s="15" t="s">
        <v>24</v>
      </c>
      <c r="B9" s="15">
        <v>50</v>
      </c>
      <c r="C9" s="15">
        <v>42</v>
      </c>
      <c r="D9" s="15">
        <v>50</v>
      </c>
      <c r="E9" s="15">
        <v>50</v>
      </c>
      <c r="F9" s="15">
        <v>50</v>
      </c>
    </row>
    <row r="10" spans="1:16" x14ac:dyDescent="0.3">
      <c r="A10" s="15" t="s">
        <v>25</v>
      </c>
      <c r="B10" s="15">
        <v>46</v>
      </c>
      <c r="C10" s="15">
        <v>38</v>
      </c>
      <c r="D10" s="15">
        <v>46</v>
      </c>
      <c r="E10" s="15">
        <v>46</v>
      </c>
      <c r="F10" s="15">
        <v>46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2338B-B786-4FCC-8C45-05DC3203B192}">
  <dimension ref="A1:D109"/>
  <sheetViews>
    <sheetView tabSelected="1" topLeftCell="A88" workbookViewId="0">
      <selection activeCell="I106" sqref="I106"/>
    </sheetView>
  </sheetViews>
  <sheetFormatPr defaultRowHeight="15.75" x14ac:dyDescent="0.3"/>
  <cols>
    <col min="1" max="1" width="28.85546875" style="16" bestFit="1" customWidth="1"/>
    <col min="2" max="2" width="40.28515625" style="16" bestFit="1" customWidth="1"/>
    <col min="3" max="3" width="27.85546875" style="16" bestFit="1" customWidth="1"/>
    <col min="4" max="4" width="47.28515625" style="16" bestFit="1" customWidth="1"/>
    <col min="5" max="13" width="9.140625" style="16"/>
    <col min="14" max="14" width="15" style="16" customWidth="1"/>
    <col min="15" max="15" width="9.140625" style="16"/>
    <col min="16" max="16" width="18.42578125" style="16" customWidth="1"/>
    <col min="17" max="17" width="9.140625" style="16"/>
    <col min="18" max="18" width="16" style="16" customWidth="1"/>
    <col min="19" max="16384" width="9.140625" style="16"/>
  </cols>
  <sheetData>
    <row r="1" spans="1:4" ht="15.75" customHeight="1" x14ac:dyDescent="0.3">
      <c r="A1" s="20" t="s">
        <v>88</v>
      </c>
      <c r="B1" s="20"/>
      <c r="C1" s="20"/>
      <c r="D1" s="20"/>
    </row>
    <row r="2" spans="1:4" ht="15.75" customHeight="1" x14ac:dyDescent="0.3">
      <c r="A2" s="20"/>
      <c r="B2" s="20"/>
      <c r="C2" s="20"/>
      <c r="D2" s="20"/>
    </row>
    <row r="3" spans="1:4" x14ac:dyDescent="0.3">
      <c r="A3" s="19" t="s">
        <v>35</v>
      </c>
      <c r="B3" s="19" t="s">
        <v>86</v>
      </c>
      <c r="C3" s="19" t="s">
        <v>173</v>
      </c>
      <c r="D3" s="19" t="s">
        <v>117</v>
      </c>
    </row>
    <row r="4" spans="1:4" x14ac:dyDescent="0.3">
      <c r="A4" s="19" t="s">
        <v>35</v>
      </c>
      <c r="B4" s="19" t="s">
        <v>86</v>
      </c>
      <c r="C4" s="19" t="s">
        <v>174</v>
      </c>
      <c r="D4" s="19" t="s">
        <v>151</v>
      </c>
    </row>
    <row r="5" spans="1:4" x14ac:dyDescent="0.3">
      <c r="A5" s="19" t="s">
        <v>35</v>
      </c>
      <c r="B5" s="19" t="s">
        <v>86</v>
      </c>
      <c r="C5" s="19" t="s">
        <v>174</v>
      </c>
      <c r="D5" s="19" t="s">
        <v>152</v>
      </c>
    </row>
    <row r="6" spans="1:4" x14ac:dyDescent="0.3">
      <c r="A6" s="19" t="s">
        <v>35</v>
      </c>
      <c r="B6" s="19" t="s">
        <v>86</v>
      </c>
      <c r="C6" s="19" t="s">
        <v>174</v>
      </c>
      <c r="D6" s="19" t="s">
        <v>153</v>
      </c>
    </row>
    <row r="7" spans="1:4" x14ac:dyDescent="0.3">
      <c r="A7" s="19" t="s">
        <v>35</v>
      </c>
      <c r="B7" s="19" t="s">
        <v>86</v>
      </c>
      <c r="C7" s="19" t="s">
        <v>174</v>
      </c>
      <c r="D7" s="19" t="s">
        <v>90</v>
      </c>
    </row>
    <row r="8" spans="1:4" x14ac:dyDescent="0.3">
      <c r="A8" s="19" t="s">
        <v>35</v>
      </c>
      <c r="B8" s="19" t="s">
        <v>86</v>
      </c>
      <c r="C8" s="19" t="s">
        <v>174</v>
      </c>
      <c r="D8" s="19" t="s">
        <v>154</v>
      </c>
    </row>
    <row r="9" spans="1:4" x14ac:dyDescent="0.3">
      <c r="A9" s="19" t="s">
        <v>35</v>
      </c>
      <c r="B9" s="19" t="s">
        <v>86</v>
      </c>
      <c r="C9" s="19" t="s">
        <v>174</v>
      </c>
      <c r="D9" s="19" t="s">
        <v>155</v>
      </c>
    </row>
    <row r="10" spans="1:4" x14ac:dyDescent="0.3">
      <c r="A10" s="19" t="s">
        <v>35</v>
      </c>
      <c r="B10" s="19" t="s">
        <v>86</v>
      </c>
      <c r="C10" s="19" t="s">
        <v>174</v>
      </c>
      <c r="D10" s="19" t="s">
        <v>172</v>
      </c>
    </row>
    <row r="11" spans="1:4" x14ac:dyDescent="0.3">
      <c r="A11" s="19" t="s">
        <v>35</v>
      </c>
      <c r="B11" s="19" t="s">
        <v>86</v>
      </c>
      <c r="C11" s="19" t="s">
        <v>175</v>
      </c>
      <c r="D11" s="19" t="s">
        <v>150</v>
      </c>
    </row>
    <row r="12" spans="1:4" x14ac:dyDescent="0.3">
      <c r="A12" s="19" t="s">
        <v>35</v>
      </c>
      <c r="B12" s="19" t="s">
        <v>86</v>
      </c>
      <c r="C12" s="19" t="s">
        <v>210</v>
      </c>
      <c r="D12" s="19" t="s">
        <v>210</v>
      </c>
    </row>
    <row r="13" spans="1:4" x14ac:dyDescent="0.3">
      <c r="A13" s="19" t="s">
        <v>35</v>
      </c>
      <c r="B13" s="19" t="s">
        <v>78</v>
      </c>
      <c r="C13" s="19" t="s">
        <v>176</v>
      </c>
      <c r="D13" s="19" t="s">
        <v>118</v>
      </c>
    </row>
    <row r="14" spans="1:4" x14ac:dyDescent="0.3">
      <c r="A14" s="19" t="s">
        <v>35</v>
      </c>
      <c r="B14" s="19" t="s">
        <v>78</v>
      </c>
      <c r="C14" s="19" t="s">
        <v>177</v>
      </c>
      <c r="D14" s="19" t="s">
        <v>157</v>
      </c>
    </row>
    <row r="15" spans="1:4" x14ac:dyDescent="0.3">
      <c r="A15" s="19" t="s">
        <v>35</v>
      </c>
      <c r="B15" s="19" t="s">
        <v>78</v>
      </c>
      <c r="C15" s="19" t="s">
        <v>177</v>
      </c>
      <c r="D15" s="19" t="s">
        <v>158</v>
      </c>
    </row>
    <row r="16" spans="1:4" x14ac:dyDescent="0.3">
      <c r="A16" s="19" t="s">
        <v>35</v>
      </c>
      <c r="B16" s="19" t="s">
        <v>78</v>
      </c>
      <c r="C16" s="19" t="s">
        <v>177</v>
      </c>
      <c r="D16" s="19" t="s">
        <v>159</v>
      </c>
    </row>
    <row r="17" spans="1:4" x14ac:dyDescent="0.3">
      <c r="A17" s="19" t="s">
        <v>35</v>
      </c>
      <c r="B17" s="19" t="s">
        <v>78</v>
      </c>
      <c r="C17" s="19" t="s">
        <v>177</v>
      </c>
      <c r="D17" s="19" t="s">
        <v>160</v>
      </c>
    </row>
    <row r="18" spans="1:4" x14ac:dyDescent="0.3">
      <c r="A18" s="19" t="s">
        <v>35</v>
      </c>
      <c r="B18" s="19" t="s">
        <v>78</v>
      </c>
      <c r="C18" s="19" t="s">
        <v>177</v>
      </c>
      <c r="D18" s="19" t="s">
        <v>156</v>
      </c>
    </row>
    <row r="19" spans="1:4" x14ac:dyDescent="0.3">
      <c r="A19" s="19" t="s">
        <v>35</v>
      </c>
      <c r="B19" s="19" t="s">
        <v>78</v>
      </c>
      <c r="C19" s="19" t="s">
        <v>174</v>
      </c>
      <c r="D19" s="19" t="s">
        <v>161</v>
      </c>
    </row>
    <row r="20" spans="1:4" x14ac:dyDescent="0.3">
      <c r="A20" s="19" t="s">
        <v>35</v>
      </c>
      <c r="B20" s="19" t="s">
        <v>78</v>
      </c>
      <c r="C20" s="19" t="s">
        <v>174</v>
      </c>
      <c r="D20" s="19" t="s">
        <v>90</v>
      </c>
    </row>
    <row r="21" spans="1:4" x14ac:dyDescent="0.3">
      <c r="A21" s="19" t="s">
        <v>35</v>
      </c>
      <c r="B21" s="19" t="s">
        <v>78</v>
      </c>
      <c r="C21" s="19" t="s">
        <v>178</v>
      </c>
      <c r="D21" s="19" t="s">
        <v>162</v>
      </c>
    </row>
    <row r="22" spans="1:4" x14ac:dyDescent="0.3">
      <c r="A22" s="19" t="s">
        <v>35</v>
      </c>
      <c r="B22" s="19" t="s">
        <v>78</v>
      </c>
      <c r="C22" s="19" t="s">
        <v>178</v>
      </c>
      <c r="D22" s="19" t="s">
        <v>163</v>
      </c>
    </row>
    <row r="23" spans="1:4" x14ac:dyDescent="0.3">
      <c r="A23" s="19" t="s">
        <v>35</v>
      </c>
      <c r="B23" s="19" t="s">
        <v>78</v>
      </c>
      <c r="C23" s="19" t="s">
        <v>175</v>
      </c>
      <c r="D23" s="19" t="s">
        <v>150</v>
      </c>
    </row>
    <row r="24" spans="1:4" x14ac:dyDescent="0.3">
      <c r="A24" s="19" t="s">
        <v>35</v>
      </c>
      <c r="B24" s="19" t="s">
        <v>78</v>
      </c>
      <c r="C24" s="19" t="s">
        <v>209</v>
      </c>
      <c r="D24" s="19" t="s">
        <v>209</v>
      </c>
    </row>
    <row r="25" spans="1:4" x14ac:dyDescent="0.3">
      <c r="A25" s="19" t="s">
        <v>35</v>
      </c>
      <c r="B25" s="19" t="s">
        <v>91</v>
      </c>
      <c r="C25" s="19" t="s">
        <v>179</v>
      </c>
      <c r="D25" s="19" t="s">
        <v>164</v>
      </c>
    </row>
    <row r="26" spans="1:4" x14ac:dyDescent="0.3">
      <c r="A26" s="19" t="s">
        <v>35</v>
      </c>
      <c r="B26" s="19" t="s">
        <v>91</v>
      </c>
      <c r="C26" s="19" t="s">
        <v>179</v>
      </c>
      <c r="D26" s="19" t="s">
        <v>165</v>
      </c>
    </row>
    <row r="27" spans="1:4" x14ac:dyDescent="0.3">
      <c r="A27" s="19" t="s">
        <v>35</v>
      </c>
      <c r="B27" s="19" t="s">
        <v>91</v>
      </c>
      <c r="C27" s="19" t="s">
        <v>180</v>
      </c>
      <c r="D27" s="19" t="s">
        <v>120</v>
      </c>
    </row>
    <row r="28" spans="1:4" x14ac:dyDescent="0.3">
      <c r="A28" s="19" t="s">
        <v>35</v>
      </c>
      <c r="B28" s="19" t="s">
        <v>91</v>
      </c>
      <c r="C28" s="19" t="s">
        <v>174</v>
      </c>
      <c r="D28" s="19" t="s">
        <v>166</v>
      </c>
    </row>
    <row r="29" spans="1:4" x14ac:dyDescent="0.3">
      <c r="A29" s="19" t="s">
        <v>35</v>
      </c>
      <c r="B29" s="19" t="s">
        <v>91</v>
      </c>
      <c r="C29" s="19" t="s">
        <v>174</v>
      </c>
      <c r="D29" s="19" t="s">
        <v>119</v>
      </c>
    </row>
    <row r="30" spans="1:4" x14ac:dyDescent="0.3">
      <c r="A30" s="19" t="s">
        <v>35</v>
      </c>
      <c r="B30" s="19" t="s">
        <v>91</v>
      </c>
      <c r="C30" s="19" t="s">
        <v>175</v>
      </c>
      <c r="D30" s="19" t="s">
        <v>150</v>
      </c>
    </row>
    <row r="31" spans="1:4" x14ac:dyDescent="0.3">
      <c r="A31" s="19" t="s">
        <v>35</v>
      </c>
      <c r="B31" s="19" t="s">
        <v>91</v>
      </c>
      <c r="C31" s="19" t="s">
        <v>208</v>
      </c>
      <c r="D31" s="19" t="s">
        <v>208</v>
      </c>
    </row>
    <row r="32" spans="1:4" x14ac:dyDescent="0.3">
      <c r="A32" s="19" t="s">
        <v>35</v>
      </c>
      <c r="B32" s="19" t="s">
        <v>92</v>
      </c>
      <c r="C32" s="19" t="s">
        <v>173</v>
      </c>
      <c r="D32" s="19" t="s">
        <v>122</v>
      </c>
    </row>
    <row r="33" spans="1:4" x14ac:dyDescent="0.3">
      <c r="A33" s="19" t="s">
        <v>35</v>
      </c>
      <c r="B33" s="19" t="s">
        <v>92</v>
      </c>
      <c r="C33" s="19" t="s">
        <v>174</v>
      </c>
      <c r="D33" s="19" t="s">
        <v>124</v>
      </c>
    </row>
    <row r="34" spans="1:4" x14ac:dyDescent="0.3">
      <c r="A34" s="19" t="s">
        <v>35</v>
      </c>
      <c r="B34" s="19" t="s">
        <v>92</v>
      </c>
      <c r="C34" s="19" t="s">
        <v>174</v>
      </c>
      <c r="D34" s="19" t="s">
        <v>123</v>
      </c>
    </row>
    <row r="35" spans="1:4" x14ac:dyDescent="0.3">
      <c r="A35" s="19" t="s">
        <v>35</v>
      </c>
      <c r="B35" s="19" t="s">
        <v>92</v>
      </c>
      <c r="C35" s="19" t="s">
        <v>181</v>
      </c>
      <c r="D35" s="19" t="s">
        <v>121</v>
      </c>
    </row>
    <row r="36" spans="1:4" x14ac:dyDescent="0.3">
      <c r="A36" s="19" t="s">
        <v>35</v>
      </c>
      <c r="B36" s="19" t="s">
        <v>92</v>
      </c>
      <c r="C36" s="19" t="s">
        <v>175</v>
      </c>
      <c r="D36" s="19" t="s">
        <v>150</v>
      </c>
    </row>
    <row r="37" spans="1:4" x14ac:dyDescent="0.3">
      <c r="A37" s="19" t="s">
        <v>35</v>
      </c>
      <c r="B37" s="19" t="s">
        <v>92</v>
      </c>
      <c r="C37" s="19" t="s">
        <v>211</v>
      </c>
      <c r="D37" s="19" t="s">
        <v>211</v>
      </c>
    </row>
    <row r="38" spans="1:4" x14ac:dyDescent="0.3">
      <c r="A38" s="19" t="s">
        <v>35</v>
      </c>
      <c r="B38" s="19" t="s">
        <v>79</v>
      </c>
      <c r="C38" s="19" t="s">
        <v>184</v>
      </c>
      <c r="D38" s="19" t="s">
        <v>131</v>
      </c>
    </row>
    <row r="39" spans="1:4" x14ac:dyDescent="0.3">
      <c r="A39" s="19" t="s">
        <v>35</v>
      </c>
      <c r="B39" s="19" t="s">
        <v>79</v>
      </c>
      <c r="C39" s="19" t="s">
        <v>184</v>
      </c>
      <c r="D39" s="19" t="s">
        <v>130</v>
      </c>
    </row>
    <row r="40" spans="1:4" x14ac:dyDescent="0.3">
      <c r="A40" s="19" t="s">
        <v>35</v>
      </c>
      <c r="B40" s="19" t="s">
        <v>79</v>
      </c>
      <c r="C40" s="19" t="s">
        <v>184</v>
      </c>
      <c r="D40" s="19" t="s">
        <v>132</v>
      </c>
    </row>
    <row r="41" spans="1:4" x14ac:dyDescent="0.3">
      <c r="A41" s="19" t="s">
        <v>35</v>
      </c>
      <c r="B41" s="19" t="s">
        <v>79</v>
      </c>
      <c r="C41" s="19" t="s">
        <v>175</v>
      </c>
      <c r="D41" s="19" t="s">
        <v>150</v>
      </c>
    </row>
    <row r="42" spans="1:4" x14ac:dyDescent="0.3">
      <c r="A42" s="19" t="s">
        <v>35</v>
      </c>
      <c r="B42" s="19" t="s">
        <v>79</v>
      </c>
      <c r="C42" s="19" t="s">
        <v>212</v>
      </c>
      <c r="D42" s="19" t="s">
        <v>212</v>
      </c>
    </row>
    <row r="43" spans="1:4" x14ac:dyDescent="0.3">
      <c r="A43" s="19" t="s">
        <v>35</v>
      </c>
      <c r="B43" s="19" t="s">
        <v>80</v>
      </c>
      <c r="C43" s="19" t="s">
        <v>182</v>
      </c>
      <c r="D43" s="19" t="s">
        <v>128</v>
      </c>
    </row>
    <row r="44" spans="1:4" x14ac:dyDescent="0.3">
      <c r="A44" s="19" t="s">
        <v>35</v>
      </c>
      <c r="B44" s="19" t="s">
        <v>80</v>
      </c>
      <c r="C44" s="19" t="s">
        <v>182</v>
      </c>
      <c r="D44" s="19" t="s">
        <v>127</v>
      </c>
    </row>
    <row r="45" spans="1:4" x14ac:dyDescent="0.3">
      <c r="A45" s="19" t="s">
        <v>35</v>
      </c>
      <c r="B45" s="19" t="s">
        <v>80</v>
      </c>
      <c r="C45" s="19" t="s">
        <v>182</v>
      </c>
      <c r="D45" s="19" t="s">
        <v>129</v>
      </c>
    </row>
    <row r="46" spans="1:4" x14ac:dyDescent="0.3">
      <c r="A46" s="19" t="s">
        <v>35</v>
      </c>
      <c r="B46" s="19" t="s">
        <v>80</v>
      </c>
      <c r="C46" s="19" t="s">
        <v>183</v>
      </c>
      <c r="D46" s="19" t="s">
        <v>133</v>
      </c>
    </row>
    <row r="47" spans="1:4" x14ac:dyDescent="0.3">
      <c r="A47" s="19" t="s">
        <v>35</v>
      </c>
      <c r="B47" s="19" t="s">
        <v>80</v>
      </c>
      <c r="C47" s="19" t="s">
        <v>183</v>
      </c>
      <c r="D47" s="19" t="s">
        <v>126</v>
      </c>
    </row>
    <row r="48" spans="1:4" x14ac:dyDescent="0.3">
      <c r="A48" s="19" t="s">
        <v>35</v>
      </c>
      <c r="B48" s="19" t="s">
        <v>80</v>
      </c>
      <c r="C48" s="19" t="s">
        <v>183</v>
      </c>
      <c r="D48" s="19" t="s">
        <v>125</v>
      </c>
    </row>
    <row r="49" spans="1:4" x14ac:dyDescent="0.3">
      <c r="A49" s="19" t="s">
        <v>35</v>
      </c>
      <c r="B49" s="19" t="s">
        <v>80</v>
      </c>
      <c r="C49" s="19" t="s">
        <v>183</v>
      </c>
      <c r="D49" s="19" t="s">
        <v>134</v>
      </c>
    </row>
    <row r="50" spans="1:4" x14ac:dyDescent="0.3">
      <c r="A50" s="19" t="s">
        <v>35</v>
      </c>
      <c r="B50" s="19" t="s">
        <v>80</v>
      </c>
      <c r="C50" s="19" t="s">
        <v>185</v>
      </c>
      <c r="D50" s="19" t="s">
        <v>135</v>
      </c>
    </row>
    <row r="51" spans="1:4" x14ac:dyDescent="0.3">
      <c r="A51" s="19" t="s">
        <v>35</v>
      </c>
      <c r="B51" s="19" t="s">
        <v>80</v>
      </c>
      <c r="C51" s="19" t="s">
        <v>175</v>
      </c>
      <c r="D51" s="19" t="s">
        <v>150</v>
      </c>
    </row>
    <row r="52" spans="1:4" x14ac:dyDescent="0.3">
      <c r="A52" s="19" t="s">
        <v>35</v>
      </c>
      <c r="B52" s="19" t="s">
        <v>80</v>
      </c>
      <c r="C52" s="19" t="s">
        <v>35</v>
      </c>
      <c r="D52" s="19" t="s">
        <v>170</v>
      </c>
    </row>
    <row r="53" spans="1:4" x14ac:dyDescent="0.3">
      <c r="A53" s="19" t="s">
        <v>35</v>
      </c>
      <c r="B53" s="19" t="s">
        <v>80</v>
      </c>
      <c r="C53" s="19" t="s">
        <v>213</v>
      </c>
      <c r="D53" s="19" t="s">
        <v>213</v>
      </c>
    </row>
    <row r="54" spans="1:4" x14ac:dyDescent="0.3">
      <c r="A54" s="19" t="s">
        <v>35</v>
      </c>
      <c r="B54" s="19" t="s">
        <v>81</v>
      </c>
      <c r="C54" s="19" t="s">
        <v>181</v>
      </c>
      <c r="D54" s="19" t="s">
        <v>136</v>
      </c>
    </row>
    <row r="55" spans="1:4" x14ac:dyDescent="0.3">
      <c r="A55" s="19" t="s">
        <v>35</v>
      </c>
      <c r="B55" s="19" t="s">
        <v>81</v>
      </c>
      <c r="C55" s="19" t="s">
        <v>175</v>
      </c>
      <c r="D55" s="19" t="s">
        <v>150</v>
      </c>
    </row>
    <row r="56" spans="1:4" x14ac:dyDescent="0.3">
      <c r="A56" s="19" t="s">
        <v>35</v>
      </c>
      <c r="B56" s="19" t="s">
        <v>81</v>
      </c>
      <c r="C56" s="19" t="s">
        <v>214</v>
      </c>
      <c r="D56" s="19" t="s">
        <v>214</v>
      </c>
    </row>
    <row r="57" spans="1:4" x14ac:dyDescent="0.3">
      <c r="A57" s="19" t="s">
        <v>35</v>
      </c>
      <c r="B57" s="19" t="s">
        <v>82</v>
      </c>
      <c r="C57" s="19" t="s">
        <v>187</v>
      </c>
      <c r="D57" s="19" t="s">
        <v>100</v>
      </c>
    </row>
    <row r="58" spans="1:4" x14ac:dyDescent="0.3">
      <c r="A58" s="19" t="s">
        <v>35</v>
      </c>
      <c r="B58" s="19" t="s">
        <v>82</v>
      </c>
      <c r="C58" s="19" t="s">
        <v>187</v>
      </c>
      <c r="D58" s="19" t="s">
        <v>101</v>
      </c>
    </row>
    <row r="59" spans="1:4" x14ac:dyDescent="0.3">
      <c r="A59" s="19" t="s">
        <v>35</v>
      </c>
      <c r="B59" s="19" t="s">
        <v>82</v>
      </c>
      <c r="C59" s="19" t="s">
        <v>187</v>
      </c>
      <c r="D59" s="19" t="s">
        <v>140</v>
      </c>
    </row>
    <row r="60" spans="1:4" x14ac:dyDescent="0.3">
      <c r="A60" s="19" t="s">
        <v>35</v>
      </c>
      <c r="B60" s="19" t="s">
        <v>82</v>
      </c>
      <c r="C60" s="19" t="s">
        <v>187</v>
      </c>
      <c r="D60" s="19" t="s">
        <v>139</v>
      </c>
    </row>
    <row r="61" spans="1:4" x14ac:dyDescent="0.3">
      <c r="A61" s="19" t="s">
        <v>35</v>
      </c>
      <c r="B61" s="19" t="s">
        <v>82</v>
      </c>
      <c r="C61" s="19" t="s">
        <v>187</v>
      </c>
      <c r="D61" s="19" t="s">
        <v>99</v>
      </c>
    </row>
    <row r="62" spans="1:4" x14ac:dyDescent="0.3">
      <c r="A62" s="19" t="s">
        <v>35</v>
      </c>
      <c r="B62" s="19" t="s">
        <v>82</v>
      </c>
      <c r="C62" s="19" t="s">
        <v>187</v>
      </c>
      <c r="D62" s="19" t="s">
        <v>100</v>
      </c>
    </row>
    <row r="63" spans="1:4" x14ac:dyDescent="0.3">
      <c r="A63" s="19" t="s">
        <v>35</v>
      </c>
      <c r="B63" s="19" t="s">
        <v>82</v>
      </c>
      <c r="C63" s="19" t="s">
        <v>187</v>
      </c>
      <c r="D63" s="19" t="s">
        <v>102</v>
      </c>
    </row>
    <row r="64" spans="1:4" x14ac:dyDescent="0.3">
      <c r="A64" s="19" t="s">
        <v>35</v>
      </c>
      <c r="B64" s="19" t="s">
        <v>82</v>
      </c>
      <c r="C64" s="19" t="s">
        <v>186</v>
      </c>
      <c r="D64" s="19" t="s">
        <v>104</v>
      </c>
    </row>
    <row r="65" spans="1:4" x14ac:dyDescent="0.3">
      <c r="A65" s="19" t="s">
        <v>35</v>
      </c>
      <c r="B65" s="19" t="s">
        <v>82</v>
      </c>
      <c r="C65" s="19" t="s">
        <v>186</v>
      </c>
      <c r="D65" s="19" t="s">
        <v>105</v>
      </c>
    </row>
    <row r="66" spans="1:4" x14ac:dyDescent="0.3">
      <c r="A66" s="19" t="s">
        <v>35</v>
      </c>
      <c r="B66" s="19" t="s">
        <v>82</v>
      </c>
      <c r="C66" s="19" t="s">
        <v>186</v>
      </c>
      <c r="D66" s="19" t="s">
        <v>137</v>
      </c>
    </row>
    <row r="67" spans="1:4" x14ac:dyDescent="0.3">
      <c r="A67" s="19" t="s">
        <v>35</v>
      </c>
      <c r="B67" s="19" t="s">
        <v>82</v>
      </c>
      <c r="C67" s="19" t="s">
        <v>186</v>
      </c>
      <c r="D67" s="19" t="s">
        <v>138</v>
      </c>
    </row>
    <row r="68" spans="1:4" x14ac:dyDescent="0.3">
      <c r="A68" s="19" t="s">
        <v>35</v>
      </c>
      <c r="B68" s="19" t="s">
        <v>82</v>
      </c>
      <c r="C68" s="19" t="s">
        <v>186</v>
      </c>
      <c r="D68" s="19" t="s">
        <v>103</v>
      </c>
    </row>
    <row r="69" spans="1:4" x14ac:dyDescent="0.3">
      <c r="A69" s="19" t="s">
        <v>35</v>
      </c>
      <c r="B69" s="19" t="s">
        <v>82</v>
      </c>
      <c r="C69" s="19" t="s">
        <v>186</v>
      </c>
      <c r="D69" s="19" t="s">
        <v>106</v>
      </c>
    </row>
    <row r="70" spans="1:4" x14ac:dyDescent="0.3">
      <c r="A70" s="19" t="s">
        <v>35</v>
      </c>
      <c r="B70" s="19" t="s">
        <v>82</v>
      </c>
      <c r="C70" s="19" t="s">
        <v>188</v>
      </c>
      <c r="D70" s="19" t="s">
        <v>142</v>
      </c>
    </row>
    <row r="71" spans="1:4" x14ac:dyDescent="0.3">
      <c r="A71" s="19" t="s">
        <v>35</v>
      </c>
      <c r="B71" s="19" t="s">
        <v>82</v>
      </c>
      <c r="C71" s="19" t="s">
        <v>189</v>
      </c>
      <c r="D71" s="19" t="s">
        <v>98</v>
      </c>
    </row>
    <row r="72" spans="1:4" x14ac:dyDescent="0.3">
      <c r="A72" s="19" t="s">
        <v>35</v>
      </c>
      <c r="B72" s="19" t="s">
        <v>82</v>
      </c>
      <c r="C72" s="19" t="s">
        <v>189</v>
      </c>
      <c r="D72" s="19" t="s">
        <v>96</v>
      </c>
    </row>
    <row r="73" spans="1:4" x14ac:dyDescent="0.3">
      <c r="A73" s="19" t="s">
        <v>35</v>
      </c>
      <c r="B73" s="19" t="s">
        <v>82</v>
      </c>
      <c r="C73" s="19" t="s">
        <v>189</v>
      </c>
      <c r="D73" s="19" t="s">
        <v>95</v>
      </c>
    </row>
    <row r="74" spans="1:4" x14ac:dyDescent="0.3">
      <c r="A74" s="19" t="s">
        <v>35</v>
      </c>
      <c r="B74" s="19" t="s">
        <v>82</v>
      </c>
      <c r="C74" s="19" t="s">
        <v>189</v>
      </c>
      <c r="D74" s="19" t="s">
        <v>97</v>
      </c>
    </row>
    <row r="75" spans="1:4" x14ac:dyDescent="0.3">
      <c r="A75" s="19" t="s">
        <v>35</v>
      </c>
      <c r="B75" s="19" t="s">
        <v>82</v>
      </c>
      <c r="C75" s="19" t="s">
        <v>189</v>
      </c>
      <c r="D75" s="19" t="s">
        <v>94</v>
      </c>
    </row>
    <row r="76" spans="1:4" x14ac:dyDescent="0.3">
      <c r="A76" s="19" t="s">
        <v>35</v>
      </c>
      <c r="B76" s="19" t="s">
        <v>82</v>
      </c>
      <c r="C76" s="19" t="s">
        <v>189</v>
      </c>
      <c r="D76" s="19" t="s">
        <v>93</v>
      </c>
    </row>
    <row r="77" spans="1:4" x14ac:dyDescent="0.3">
      <c r="A77" s="19" t="s">
        <v>35</v>
      </c>
      <c r="B77" s="19" t="s">
        <v>82</v>
      </c>
      <c r="C77" s="19" t="s">
        <v>189</v>
      </c>
      <c r="D77" s="19" t="s">
        <v>141</v>
      </c>
    </row>
    <row r="78" spans="1:4" x14ac:dyDescent="0.3">
      <c r="A78" s="19" t="s">
        <v>35</v>
      </c>
      <c r="B78" s="19" t="s">
        <v>82</v>
      </c>
      <c r="C78" s="19" t="s">
        <v>175</v>
      </c>
      <c r="D78" s="19" t="s">
        <v>150</v>
      </c>
    </row>
    <row r="79" spans="1:4" x14ac:dyDescent="0.3">
      <c r="A79" s="19" t="s">
        <v>35</v>
      </c>
      <c r="B79" s="19" t="s">
        <v>82</v>
      </c>
      <c r="C79" s="19" t="s">
        <v>35</v>
      </c>
      <c r="D79" s="19" t="s">
        <v>168</v>
      </c>
    </row>
    <row r="80" spans="1:4" x14ac:dyDescent="0.3">
      <c r="A80" s="19" t="s">
        <v>35</v>
      </c>
      <c r="B80" s="19" t="s">
        <v>82</v>
      </c>
      <c r="C80" s="19" t="s">
        <v>215</v>
      </c>
      <c r="D80" s="19" t="s">
        <v>215</v>
      </c>
    </row>
    <row r="81" spans="1:4" x14ac:dyDescent="0.3">
      <c r="A81" s="19" t="s">
        <v>35</v>
      </c>
      <c r="B81" s="19" t="s">
        <v>83</v>
      </c>
      <c r="C81" s="19" t="s">
        <v>190</v>
      </c>
      <c r="D81" s="19" t="s">
        <v>107</v>
      </c>
    </row>
    <row r="82" spans="1:4" x14ac:dyDescent="0.3">
      <c r="A82" s="19" t="s">
        <v>35</v>
      </c>
      <c r="B82" s="19" t="s">
        <v>83</v>
      </c>
      <c r="C82" s="19" t="s">
        <v>190</v>
      </c>
      <c r="D82" s="19" t="s">
        <v>143</v>
      </c>
    </row>
    <row r="83" spans="1:4" x14ac:dyDescent="0.3">
      <c r="A83" s="19" t="s">
        <v>35</v>
      </c>
      <c r="B83" s="19" t="s">
        <v>83</v>
      </c>
      <c r="C83" s="19" t="s">
        <v>173</v>
      </c>
      <c r="D83" s="19" t="s">
        <v>108</v>
      </c>
    </row>
    <row r="84" spans="1:4" x14ac:dyDescent="0.3">
      <c r="A84" s="19" t="s">
        <v>35</v>
      </c>
      <c r="B84" s="19" t="s">
        <v>83</v>
      </c>
      <c r="C84" s="19" t="s">
        <v>175</v>
      </c>
      <c r="D84" s="19" t="s">
        <v>150</v>
      </c>
    </row>
    <row r="85" spans="1:4" x14ac:dyDescent="0.3">
      <c r="A85" s="19" t="s">
        <v>35</v>
      </c>
      <c r="B85" s="19" t="s">
        <v>83</v>
      </c>
      <c r="C85" s="19" t="s">
        <v>216</v>
      </c>
      <c r="D85" s="19" t="s">
        <v>216</v>
      </c>
    </row>
    <row r="86" spans="1:4" x14ac:dyDescent="0.3">
      <c r="A86" s="19" t="s">
        <v>35</v>
      </c>
      <c r="B86" s="19" t="s">
        <v>84</v>
      </c>
      <c r="C86" s="19" t="s">
        <v>191</v>
      </c>
      <c r="D86" s="19" t="s">
        <v>145</v>
      </c>
    </row>
    <row r="87" spans="1:4" x14ac:dyDescent="0.3">
      <c r="A87" s="19" t="s">
        <v>35</v>
      </c>
      <c r="B87" s="19" t="s">
        <v>84</v>
      </c>
      <c r="C87" s="19" t="s">
        <v>193</v>
      </c>
      <c r="D87" s="19" t="s">
        <v>108</v>
      </c>
    </row>
    <row r="88" spans="1:4" x14ac:dyDescent="0.3">
      <c r="A88" s="19" t="s">
        <v>35</v>
      </c>
      <c r="B88" s="19" t="s">
        <v>84</v>
      </c>
      <c r="C88" s="19" t="s">
        <v>192</v>
      </c>
      <c r="D88" s="19" t="s">
        <v>144</v>
      </c>
    </row>
    <row r="89" spans="1:4" x14ac:dyDescent="0.3">
      <c r="A89" s="19" t="s">
        <v>35</v>
      </c>
      <c r="B89" s="19" t="s">
        <v>84</v>
      </c>
      <c r="C89" s="19" t="s">
        <v>194</v>
      </c>
      <c r="D89" s="19" t="s">
        <v>150</v>
      </c>
    </row>
    <row r="90" spans="1:4" x14ac:dyDescent="0.3">
      <c r="A90" s="19" t="s">
        <v>35</v>
      </c>
      <c r="B90" s="19" t="s">
        <v>84</v>
      </c>
      <c r="C90" s="19" t="s">
        <v>217</v>
      </c>
      <c r="D90" s="19" t="s">
        <v>217</v>
      </c>
    </row>
    <row r="91" spans="1:4" x14ac:dyDescent="0.3">
      <c r="A91" s="19" t="s">
        <v>85</v>
      </c>
      <c r="B91" s="19" t="s">
        <v>113</v>
      </c>
      <c r="C91" s="19" t="s">
        <v>195</v>
      </c>
      <c r="D91" s="19" t="s">
        <v>110</v>
      </c>
    </row>
    <row r="92" spans="1:4" x14ac:dyDescent="0.3">
      <c r="A92" s="19" t="s">
        <v>85</v>
      </c>
      <c r="B92" s="19" t="s">
        <v>113</v>
      </c>
      <c r="C92" s="19" t="s">
        <v>196</v>
      </c>
      <c r="D92" s="19" t="s">
        <v>146</v>
      </c>
    </row>
    <row r="93" spans="1:4" x14ac:dyDescent="0.3">
      <c r="A93" s="19" t="s">
        <v>85</v>
      </c>
      <c r="B93" s="19" t="s">
        <v>109</v>
      </c>
      <c r="C93" s="19" t="s">
        <v>109</v>
      </c>
      <c r="D93" s="19" t="s">
        <v>133</v>
      </c>
    </row>
    <row r="94" spans="1:4" x14ac:dyDescent="0.3">
      <c r="A94" s="19" t="s">
        <v>85</v>
      </c>
      <c r="B94" s="19" t="s">
        <v>109</v>
      </c>
      <c r="C94" s="19" t="s">
        <v>197</v>
      </c>
      <c r="D94" s="19" t="s">
        <v>169</v>
      </c>
    </row>
    <row r="95" spans="1:4" x14ac:dyDescent="0.3">
      <c r="A95" s="19" t="s">
        <v>85</v>
      </c>
      <c r="B95" s="19" t="s">
        <v>109</v>
      </c>
      <c r="C95" s="19" t="s">
        <v>218</v>
      </c>
      <c r="D95" s="19" t="s">
        <v>218</v>
      </c>
    </row>
    <row r="96" spans="1:4" x14ac:dyDescent="0.3">
      <c r="A96" s="19" t="s">
        <v>111</v>
      </c>
      <c r="B96" s="19" t="s">
        <v>77</v>
      </c>
      <c r="C96" s="19" t="s">
        <v>198</v>
      </c>
      <c r="D96" s="19" t="s">
        <v>87</v>
      </c>
    </row>
    <row r="97" spans="1:4" x14ac:dyDescent="0.3">
      <c r="A97" s="19" t="s">
        <v>111</v>
      </c>
      <c r="B97" s="19" t="s">
        <v>77</v>
      </c>
      <c r="C97" s="19" t="s">
        <v>199</v>
      </c>
      <c r="D97" s="19" t="s">
        <v>171</v>
      </c>
    </row>
    <row r="98" spans="1:4" x14ac:dyDescent="0.3">
      <c r="A98" s="19" t="s">
        <v>111</v>
      </c>
      <c r="B98" s="19" t="s">
        <v>77</v>
      </c>
      <c r="C98" s="19" t="s">
        <v>219</v>
      </c>
      <c r="D98" s="19" t="s">
        <v>219</v>
      </c>
    </row>
    <row r="99" spans="1:4" x14ac:dyDescent="0.3">
      <c r="A99" s="19" t="s">
        <v>76</v>
      </c>
      <c r="B99" s="19" t="s">
        <v>112</v>
      </c>
      <c r="C99" s="19" t="s">
        <v>200</v>
      </c>
      <c r="D99" s="19" t="s">
        <v>116</v>
      </c>
    </row>
    <row r="100" spans="1:4" x14ac:dyDescent="0.3">
      <c r="A100" s="19" t="s">
        <v>76</v>
      </c>
      <c r="B100" s="19" t="s">
        <v>112</v>
      </c>
      <c r="C100" s="19" t="s">
        <v>200</v>
      </c>
      <c r="D100" s="19" t="s">
        <v>115</v>
      </c>
    </row>
    <row r="101" spans="1:4" x14ac:dyDescent="0.3">
      <c r="A101" s="19" t="s">
        <v>76</v>
      </c>
      <c r="B101" s="19" t="s">
        <v>112</v>
      </c>
      <c r="C101" s="19" t="s">
        <v>201</v>
      </c>
      <c r="D101" s="19" t="s">
        <v>148</v>
      </c>
    </row>
    <row r="102" spans="1:4" x14ac:dyDescent="0.3">
      <c r="A102" s="19" t="s">
        <v>76</v>
      </c>
      <c r="B102" s="19" t="s">
        <v>112</v>
      </c>
      <c r="C102" s="19" t="s">
        <v>200</v>
      </c>
      <c r="D102" s="19" t="s">
        <v>89</v>
      </c>
    </row>
    <row r="103" spans="1:4" x14ac:dyDescent="0.3">
      <c r="A103" s="19" t="s">
        <v>76</v>
      </c>
      <c r="B103" s="19" t="s">
        <v>112</v>
      </c>
      <c r="C103" s="19" t="s">
        <v>200</v>
      </c>
      <c r="D103" s="19" t="s">
        <v>114</v>
      </c>
    </row>
    <row r="104" spans="1:4" x14ac:dyDescent="0.3">
      <c r="A104" s="19" t="s">
        <v>76</v>
      </c>
      <c r="B104" s="19" t="s">
        <v>112</v>
      </c>
      <c r="C104" s="19" t="s">
        <v>200</v>
      </c>
      <c r="D104" s="19" t="s">
        <v>149</v>
      </c>
    </row>
    <row r="105" spans="1:4" x14ac:dyDescent="0.3">
      <c r="A105" s="19" t="s">
        <v>76</v>
      </c>
      <c r="B105" s="19" t="s">
        <v>112</v>
      </c>
      <c r="C105" s="19" t="s">
        <v>202</v>
      </c>
      <c r="D105" s="19" t="s">
        <v>147</v>
      </c>
    </row>
    <row r="106" spans="1:4" x14ac:dyDescent="0.3">
      <c r="A106" s="19" t="s">
        <v>76</v>
      </c>
      <c r="B106" s="19" t="s">
        <v>112</v>
      </c>
      <c r="C106" s="19" t="s">
        <v>203</v>
      </c>
      <c r="D106" s="19" t="s">
        <v>204</v>
      </c>
    </row>
    <row r="107" spans="1:4" x14ac:dyDescent="0.3">
      <c r="A107" s="19" t="s">
        <v>76</v>
      </c>
      <c r="B107" s="19" t="s">
        <v>112</v>
      </c>
      <c r="C107" s="19" t="s">
        <v>200</v>
      </c>
      <c r="D107" s="19" t="s">
        <v>205</v>
      </c>
    </row>
    <row r="108" spans="1:4" x14ac:dyDescent="0.3">
      <c r="A108" s="19" t="s">
        <v>76</v>
      </c>
      <c r="B108" s="19" t="s">
        <v>112</v>
      </c>
      <c r="C108" s="19" t="s">
        <v>200</v>
      </c>
      <c r="D108" s="19" t="s">
        <v>206</v>
      </c>
    </row>
    <row r="109" spans="1:4" x14ac:dyDescent="0.3">
      <c r="A109" s="19" t="s">
        <v>76</v>
      </c>
      <c r="B109" s="19" t="s">
        <v>112</v>
      </c>
      <c r="C109" s="19" t="s">
        <v>207</v>
      </c>
      <c r="D109" s="19" t="s">
        <v>207</v>
      </c>
    </row>
  </sheetData>
  <mergeCells count="1">
    <mergeCell ref="A1:D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1E687-4EF4-442D-9D5F-2639141E2BF3}">
  <dimension ref="A1:C106"/>
  <sheetViews>
    <sheetView topLeftCell="A67" workbookViewId="0">
      <selection activeCell="C98" sqref="A98:C98"/>
    </sheetView>
  </sheetViews>
  <sheetFormatPr defaultRowHeight="15.75" x14ac:dyDescent="0.3"/>
  <cols>
    <col min="1" max="1" width="28.85546875" style="16" bestFit="1" customWidth="1"/>
    <col min="2" max="2" width="40.28515625" style="16" bestFit="1" customWidth="1"/>
    <col min="3" max="3" width="47.28515625" style="16" bestFit="1" customWidth="1"/>
    <col min="4" max="12" width="9.140625" style="16"/>
    <col min="13" max="13" width="15" style="16" customWidth="1"/>
    <col min="14" max="14" width="9.140625" style="16"/>
    <col min="15" max="15" width="18.42578125" style="16" customWidth="1"/>
    <col min="16" max="16" width="9.140625" style="16"/>
    <col min="17" max="17" width="16" style="16" customWidth="1"/>
    <col min="18" max="16384" width="9.140625" style="16"/>
  </cols>
  <sheetData>
    <row r="1" spans="1:3" ht="15.75" customHeight="1" x14ac:dyDescent="0.3">
      <c r="A1" s="20" t="s">
        <v>88</v>
      </c>
      <c r="B1" s="20"/>
      <c r="C1" s="20"/>
    </row>
    <row r="2" spans="1:3" ht="15.75" customHeight="1" x14ac:dyDescent="0.3">
      <c r="A2" s="20"/>
      <c r="B2" s="20"/>
      <c r="C2" s="20"/>
    </row>
    <row r="3" spans="1:3" x14ac:dyDescent="0.3">
      <c r="A3" s="19" t="s">
        <v>35</v>
      </c>
      <c r="B3" s="19" t="s">
        <v>86</v>
      </c>
      <c r="C3" s="19" t="s">
        <v>117</v>
      </c>
    </row>
    <row r="4" spans="1:3" x14ac:dyDescent="0.3">
      <c r="A4" s="19" t="s">
        <v>35</v>
      </c>
      <c r="B4" s="19" t="s">
        <v>86</v>
      </c>
      <c r="C4" s="19" t="s">
        <v>151</v>
      </c>
    </row>
    <row r="5" spans="1:3" x14ac:dyDescent="0.3">
      <c r="A5" s="19" t="s">
        <v>35</v>
      </c>
      <c r="B5" s="19" t="s">
        <v>86</v>
      </c>
      <c r="C5" s="19" t="s">
        <v>152</v>
      </c>
    </row>
    <row r="6" spans="1:3" x14ac:dyDescent="0.3">
      <c r="A6" s="19" t="s">
        <v>35</v>
      </c>
      <c r="B6" s="19" t="s">
        <v>86</v>
      </c>
      <c r="C6" s="19" t="s">
        <v>153</v>
      </c>
    </row>
    <row r="7" spans="1:3" x14ac:dyDescent="0.3">
      <c r="A7" s="19" t="s">
        <v>35</v>
      </c>
      <c r="B7" s="19" t="s">
        <v>86</v>
      </c>
      <c r="C7" s="19" t="s">
        <v>90</v>
      </c>
    </row>
    <row r="8" spans="1:3" x14ac:dyDescent="0.3">
      <c r="A8" s="19" t="s">
        <v>35</v>
      </c>
      <c r="B8" s="19" t="s">
        <v>86</v>
      </c>
      <c r="C8" s="19" t="s">
        <v>154</v>
      </c>
    </row>
    <row r="9" spans="1:3" x14ac:dyDescent="0.3">
      <c r="A9" s="19" t="s">
        <v>35</v>
      </c>
      <c r="B9" s="19" t="s">
        <v>86</v>
      </c>
      <c r="C9" s="19" t="s">
        <v>155</v>
      </c>
    </row>
    <row r="10" spans="1:3" x14ac:dyDescent="0.3">
      <c r="A10" s="19" t="s">
        <v>35</v>
      </c>
      <c r="B10" s="19" t="s">
        <v>86</v>
      </c>
      <c r="C10" s="19" t="s">
        <v>172</v>
      </c>
    </row>
    <row r="11" spans="1:3" x14ac:dyDescent="0.3">
      <c r="A11" s="19" t="s">
        <v>35</v>
      </c>
      <c r="B11" s="19" t="s">
        <v>86</v>
      </c>
      <c r="C11" s="19" t="s">
        <v>150</v>
      </c>
    </row>
    <row r="12" spans="1:3" x14ac:dyDescent="0.3">
      <c r="A12" s="19" t="s">
        <v>35</v>
      </c>
      <c r="B12" s="19" t="s">
        <v>86</v>
      </c>
      <c r="C12" s="19" t="s">
        <v>167</v>
      </c>
    </row>
    <row r="13" spans="1:3" x14ac:dyDescent="0.3">
      <c r="A13" s="19" t="s">
        <v>35</v>
      </c>
      <c r="B13" s="19" t="s">
        <v>78</v>
      </c>
      <c r="C13" s="19" t="s">
        <v>118</v>
      </c>
    </row>
    <row r="14" spans="1:3" x14ac:dyDescent="0.3">
      <c r="A14" s="19" t="s">
        <v>35</v>
      </c>
      <c r="B14" s="19" t="s">
        <v>78</v>
      </c>
      <c r="C14" s="19" t="s">
        <v>157</v>
      </c>
    </row>
    <row r="15" spans="1:3" x14ac:dyDescent="0.3">
      <c r="A15" s="19" t="s">
        <v>35</v>
      </c>
      <c r="B15" s="19" t="s">
        <v>78</v>
      </c>
      <c r="C15" s="19" t="s">
        <v>158</v>
      </c>
    </row>
    <row r="16" spans="1:3" x14ac:dyDescent="0.3">
      <c r="A16" s="19" t="s">
        <v>35</v>
      </c>
      <c r="B16" s="19" t="s">
        <v>78</v>
      </c>
      <c r="C16" s="19" t="s">
        <v>159</v>
      </c>
    </row>
    <row r="17" spans="1:3" x14ac:dyDescent="0.3">
      <c r="A17" s="19" t="s">
        <v>35</v>
      </c>
      <c r="B17" s="19" t="s">
        <v>78</v>
      </c>
      <c r="C17" s="19" t="s">
        <v>160</v>
      </c>
    </row>
    <row r="18" spans="1:3" x14ac:dyDescent="0.3">
      <c r="A18" s="19" t="s">
        <v>35</v>
      </c>
      <c r="B18" s="19" t="s">
        <v>78</v>
      </c>
      <c r="C18" s="19" t="s">
        <v>156</v>
      </c>
    </row>
    <row r="19" spans="1:3" x14ac:dyDescent="0.3">
      <c r="A19" s="19" t="s">
        <v>35</v>
      </c>
      <c r="B19" s="19" t="s">
        <v>78</v>
      </c>
      <c r="C19" s="19" t="s">
        <v>161</v>
      </c>
    </row>
    <row r="20" spans="1:3" x14ac:dyDescent="0.3">
      <c r="A20" s="19" t="s">
        <v>35</v>
      </c>
      <c r="B20" s="19" t="s">
        <v>78</v>
      </c>
      <c r="C20" s="19" t="s">
        <v>90</v>
      </c>
    </row>
    <row r="21" spans="1:3" x14ac:dyDescent="0.3">
      <c r="A21" s="19" t="s">
        <v>35</v>
      </c>
      <c r="B21" s="19" t="s">
        <v>78</v>
      </c>
      <c r="C21" s="19" t="s">
        <v>162</v>
      </c>
    </row>
    <row r="22" spans="1:3" x14ac:dyDescent="0.3">
      <c r="A22" s="19" t="s">
        <v>35</v>
      </c>
      <c r="B22" s="19" t="s">
        <v>78</v>
      </c>
      <c r="C22" s="19" t="s">
        <v>163</v>
      </c>
    </row>
    <row r="23" spans="1:3" x14ac:dyDescent="0.3">
      <c r="A23" s="19" t="s">
        <v>35</v>
      </c>
      <c r="B23" s="19" t="s">
        <v>78</v>
      </c>
      <c r="C23" s="19" t="s">
        <v>150</v>
      </c>
    </row>
    <row r="24" spans="1:3" x14ac:dyDescent="0.3">
      <c r="A24" s="19" t="s">
        <v>35</v>
      </c>
      <c r="B24" s="19" t="s">
        <v>78</v>
      </c>
      <c r="C24" s="19" t="s">
        <v>167</v>
      </c>
    </row>
    <row r="25" spans="1:3" x14ac:dyDescent="0.3">
      <c r="A25" s="19" t="s">
        <v>35</v>
      </c>
      <c r="B25" s="19" t="s">
        <v>91</v>
      </c>
      <c r="C25" s="19" t="s">
        <v>164</v>
      </c>
    </row>
    <row r="26" spans="1:3" x14ac:dyDescent="0.3">
      <c r="A26" s="19" t="s">
        <v>35</v>
      </c>
      <c r="B26" s="19" t="s">
        <v>91</v>
      </c>
      <c r="C26" s="19" t="s">
        <v>165</v>
      </c>
    </row>
    <row r="27" spans="1:3" x14ac:dyDescent="0.3">
      <c r="A27" s="19" t="s">
        <v>35</v>
      </c>
      <c r="B27" s="19" t="s">
        <v>91</v>
      </c>
      <c r="C27" s="19" t="s">
        <v>120</v>
      </c>
    </row>
    <row r="28" spans="1:3" x14ac:dyDescent="0.3">
      <c r="A28" s="19" t="s">
        <v>35</v>
      </c>
      <c r="B28" s="19" t="s">
        <v>91</v>
      </c>
      <c r="C28" s="19" t="s">
        <v>166</v>
      </c>
    </row>
    <row r="29" spans="1:3" x14ac:dyDescent="0.3">
      <c r="A29" s="19" t="s">
        <v>35</v>
      </c>
      <c r="B29" s="19" t="s">
        <v>91</v>
      </c>
      <c r="C29" s="19" t="s">
        <v>119</v>
      </c>
    </row>
    <row r="30" spans="1:3" x14ac:dyDescent="0.3">
      <c r="A30" s="19" t="s">
        <v>35</v>
      </c>
      <c r="B30" s="19" t="s">
        <v>91</v>
      </c>
      <c r="C30" s="19" t="s">
        <v>150</v>
      </c>
    </row>
    <row r="31" spans="1:3" x14ac:dyDescent="0.3">
      <c r="A31" s="19" t="s">
        <v>35</v>
      </c>
      <c r="B31" s="19" t="s">
        <v>91</v>
      </c>
      <c r="C31" s="19" t="s">
        <v>167</v>
      </c>
    </row>
    <row r="32" spans="1:3" x14ac:dyDescent="0.3">
      <c r="A32" s="19" t="s">
        <v>35</v>
      </c>
      <c r="B32" s="19" t="s">
        <v>92</v>
      </c>
      <c r="C32" s="19" t="s">
        <v>122</v>
      </c>
    </row>
    <row r="33" spans="1:3" x14ac:dyDescent="0.3">
      <c r="A33" s="19" t="s">
        <v>35</v>
      </c>
      <c r="B33" s="19" t="s">
        <v>92</v>
      </c>
      <c r="C33" s="19" t="s">
        <v>124</v>
      </c>
    </row>
    <row r="34" spans="1:3" x14ac:dyDescent="0.3">
      <c r="A34" s="19" t="s">
        <v>35</v>
      </c>
      <c r="B34" s="19" t="s">
        <v>92</v>
      </c>
      <c r="C34" s="19" t="s">
        <v>123</v>
      </c>
    </row>
    <row r="35" spans="1:3" x14ac:dyDescent="0.3">
      <c r="A35" s="19" t="s">
        <v>35</v>
      </c>
      <c r="B35" s="19" t="s">
        <v>92</v>
      </c>
      <c r="C35" s="19" t="s">
        <v>121</v>
      </c>
    </row>
    <row r="36" spans="1:3" x14ac:dyDescent="0.3">
      <c r="A36" s="19" t="s">
        <v>35</v>
      </c>
      <c r="B36" s="19" t="s">
        <v>92</v>
      </c>
      <c r="C36" s="19" t="s">
        <v>150</v>
      </c>
    </row>
    <row r="37" spans="1:3" x14ac:dyDescent="0.3">
      <c r="A37" s="19" t="s">
        <v>35</v>
      </c>
      <c r="B37" s="19" t="s">
        <v>92</v>
      </c>
      <c r="C37" s="19" t="s">
        <v>167</v>
      </c>
    </row>
    <row r="38" spans="1:3" x14ac:dyDescent="0.3">
      <c r="A38" s="19" t="s">
        <v>35</v>
      </c>
      <c r="B38" s="19" t="s">
        <v>79</v>
      </c>
      <c r="C38" s="19" t="s">
        <v>131</v>
      </c>
    </row>
    <row r="39" spans="1:3" x14ac:dyDescent="0.3">
      <c r="A39" s="19" t="s">
        <v>35</v>
      </c>
      <c r="B39" s="19" t="s">
        <v>79</v>
      </c>
      <c r="C39" s="19" t="s">
        <v>130</v>
      </c>
    </row>
    <row r="40" spans="1:3" x14ac:dyDescent="0.3">
      <c r="A40" s="19" t="s">
        <v>35</v>
      </c>
      <c r="B40" s="19" t="s">
        <v>79</v>
      </c>
      <c r="C40" s="19" t="s">
        <v>132</v>
      </c>
    </row>
    <row r="41" spans="1:3" x14ac:dyDescent="0.3">
      <c r="A41" s="19" t="s">
        <v>35</v>
      </c>
      <c r="B41" s="19" t="s">
        <v>79</v>
      </c>
      <c r="C41" s="19" t="s">
        <v>150</v>
      </c>
    </row>
    <row r="42" spans="1:3" x14ac:dyDescent="0.3">
      <c r="A42" s="19" t="s">
        <v>35</v>
      </c>
      <c r="B42" s="19" t="s">
        <v>79</v>
      </c>
      <c r="C42" s="19" t="s">
        <v>167</v>
      </c>
    </row>
    <row r="43" spans="1:3" x14ac:dyDescent="0.3">
      <c r="A43" s="19" t="s">
        <v>35</v>
      </c>
      <c r="B43" s="19" t="s">
        <v>80</v>
      </c>
      <c r="C43" s="19" t="s">
        <v>128</v>
      </c>
    </row>
    <row r="44" spans="1:3" x14ac:dyDescent="0.3">
      <c r="A44" s="19" t="s">
        <v>35</v>
      </c>
      <c r="B44" s="19" t="s">
        <v>80</v>
      </c>
      <c r="C44" s="19" t="s">
        <v>127</v>
      </c>
    </row>
    <row r="45" spans="1:3" x14ac:dyDescent="0.3">
      <c r="A45" s="19" t="s">
        <v>35</v>
      </c>
      <c r="B45" s="19" t="s">
        <v>80</v>
      </c>
      <c r="C45" s="19" t="s">
        <v>129</v>
      </c>
    </row>
    <row r="46" spans="1:3" x14ac:dyDescent="0.3">
      <c r="A46" s="19" t="s">
        <v>35</v>
      </c>
      <c r="B46" s="19" t="s">
        <v>80</v>
      </c>
      <c r="C46" s="19" t="s">
        <v>133</v>
      </c>
    </row>
    <row r="47" spans="1:3" x14ac:dyDescent="0.3">
      <c r="A47" s="19" t="s">
        <v>35</v>
      </c>
      <c r="B47" s="19" t="s">
        <v>80</v>
      </c>
      <c r="C47" s="19" t="s">
        <v>126</v>
      </c>
    </row>
    <row r="48" spans="1:3" x14ac:dyDescent="0.3">
      <c r="A48" s="19" t="s">
        <v>35</v>
      </c>
      <c r="B48" s="19" t="s">
        <v>80</v>
      </c>
      <c r="C48" s="19" t="s">
        <v>125</v>
      </c>
    </row>
    <row r="49" spans="1:3" x14ac:dyDescent="0.3">
      <c r="A49" s="19" t="s">
        <v>35</v>
      </c>
      <c r="B49" s="19" t="s">
        <v>80</v>
      </c>
      <c r="C49" s="19" t="s">
        <v>134</v>
      </c>
    </row>
    <row r="50" spans="1:3" x14ac:dyDescent="0.3">
      <c r="A50" s="19" t="s">
        <v>35</v>
      </c>
      <c r="B50" s="19" t="s">
        <v>80</v>
      </c>
      <c r="C50" s="19" t="s">
        <v>135</v>
      </c>
    </row>
    <row r="51" spans="1:3" x14ac:dyDescent="0.3">
      <c r="A51" s="19" t="s">
        <v>35</v>
      </c>
      <c r="B51" s="19" t="s">
        <v>80</v>
      </c>
      <c r="C51" s="19" t="s">
        <v>150</v>
      </c>
    </row>
    <row r="52" spans="1:3" x14ac:dyDescent="0.3">
      <c r="A52" s="19" t="s">
        <v>35</v>
      </c>
      <c r="B52" s="19" t="s">
        <v>80</v>
      </c>
      <c r="C52" s="19" t="s">
        <v>170</v>
      </c>
    </row>
    <row r="53" spans="1:3" x14ac:dyDescent="0.3">
      <c r="A53" s="19" t="s">
        <v>35</v>
      </c>
      <c r="B53" s="19" t="s">
        <v>80</v>
      </c>
      <c r="C53" s="19" t="s">
        <v>167</v>
      </c>
    </row>
    <row r="54" spans="1:3" x14ac:dyDescent="0.3">
      <c r="A54" s="19" t="s">
        <v>35</v>
      </c>
      <c r="B54" s="19" t="s">
        <v>81</v>
      </c>
      <c r="C54" s="19" t="s">
        <v>136</v>
      </c>
    </row>
    <row r="55" spans="1:3" x14ac:dyDescent="0.3">
      <c r="A55" s="19" t="s">
        <v>35</v>
      </c>
      <c r="B55" s="19" t="s">
        <v>81</v>
      </c>
      <c r="C55" s="19" t="s">
        <v>150</v>
      </c>
    </row>
    <row r="56" spans="1:3" x14ac:dyDescent="0.3">
      <c r="A56" s="19" t="s">
        <v>35</v>
      </c>
      <c r="B56" s="19" t="s">
        <v>81</v>
      </c>
      <c r="C56" s="19" t="s">
        <v>167</v>
      </c>
    </row>
    <row r="57" spans="1:3" x14ac:dyDescent="0.3">
      <c r="A57" s="19" t="s">
        <v>35</v>
      </c>
      <c r="B57" s="19" t="s">
        <v>82</v>
      </c>
      <c r="C57" s="19" t="s">
        <v>100</v>
      </c>
    </row>
    <row r="58" spans="1:3" x14ac:dyDescent="0.3">
      <c r="A58" s="19" t="s">
        <v>35</v>
      </c>
      <c r="B58" s="19" t="s">
        <v>82</v>
      </c>
      <c r="C58" s="19" t="s">
        <v>101</v>
      </c>
    </row>
    <row r="59" spans="1:3" x14ac:dyDescent="0.3">
      <c r="A59" s="19" t="s">
        <v>35</v>
      </c>
      <c r="B59" s="19" t="s">
        <v>82</v>
      </c>
      <c r="C59" s="19" t="s">
        <v>140</v>
      </c>
    </row>
    <row r="60" spans="1:3" x14ac:dyDescent="0.3">
      <c r="A60" s="19" t="s">
        <v>35</v>
      </c>
      <c r="B60" s="19" t="s">
        <v>82</v>
      </c>
      <c r="C60" s="19" t="s">
        <v>139</v>
      </c>
    </row>
    <row r="61" spans="1:3" x14ac:dyDescent="0.3">
      <c r="A61" s="19" t="s">
        <v>35</v>
      </c>
      <c r="B61" s="19" t="s">
        <v>82</v>
      </c>
      <c r="C61" s="19" t="s">
        <v>99</v>
      </c>
    </row>
    <row r="62" spans="1:3" x14ac:dyDescent="0.3">
      <c r="A62" s="19" t="s">
        <v>35</v>
      </c>
      <c r="B62" s="19" t="s">
        <v>82</v>
      </c>
      <c r="C62" s="19" t="s">
        <v>104</v>
      </c>
    </row>
    <row r="63" spans="1:3" x14ac:dyDescent="0.3">
      <c r="A63" s="19" t="s">
        <v>35</v>
      </c>
      <c r="B63" s="19" t="s">
        <v>82</v>
      </c>
      <c r="C63" s="19" t="s">
        <v>102</v>
      </c>
    </row>
    <row r="64" spans="1:3" x14ac:dyDescent="0.3">
      <c r="A64" s="19" t="s">
        <v>35</v>
      </c>
      <c r="B64" s="19" t="s">
        <v>82</v>
      </c>
      <c r="C64" s="19" t="s">
        <v>104</v>
      </c>
    </row>
    <row r="65" spans="1:3" x14ac:dyDescent="0.3">
      <c r="A65" s="19" t="s">
        <v>35</v>
      </c>
      <c r="B65" s="19" t="s">
        <v>82</v>
      </c>
      <c r="C65" s="19" t="s">
        <v>105</v>
      </c>
    </row>
    <row r="66" spans="1:3" x14ac:dyDescent="0.3">
      <c r="A66" s="19" t="s">
        <v>35</v>
      </c>
      <c r="B66" s="19" t="s">
        <v>82</v>
      </c>
      <c r="C66" s="19" t="s">
        <v>137</v>
      </c>
    </row>
    <row r="67" spans="1:3" x14ac:dyDescent="0.3">
      <c r="A67" s="19" t="s">
        <v>35</v>
      </c>
      <c r="B67" s="19" t="s">
        <v>82</v>
      </c>
      <c r="C67" s="19" t="s">
        <v>138</v>
      </c>
    </row>
    <row r="68" spans="1:3" x14ac:dyDescent="0.3">
      <c r="A68" s="19" t="s">
        <v>35</v>
      </c>
      <c r="B68" s="19" t="s">
        <v>82</v>
      </c>
      <c r="C68" s="19" t="s">
        <v>103</v>
      </c>
    </row>
    <row r="69" spans="1:3" x14ac:dyDescent="0.3">
      <c r="A69" s="19" t="s">
        <v>35</v>
      </c>
      <c r="B69" s="19" t="s">
        <v>82</v>
      </c>
      <c r="C69" s="19" t="s">
        <v>106</v>
      </c>
    </row>
    <row r="70" spans="1:3" x14ac:dyDescent="0.3">
      <c r="A70" s="19" t="s">
        <v>35</v>
      </c>
      <c r="B70" s="19" t="s">
        <v>82</v>
      </c>
      <c r="C70" s="19" t="s">
        <v>142</v>
      </c>
    </row>
    <row r="71" spans="1:3" x14ac:dyDescent="0.3">
      <c r="A71" s="19" t="s">
        <v>35</v>
      </c>
      <c r="B71" s="19" t="s">
        <v>82</v>
      </c>
      <c r="C71" s="19" t="s">
        <v>98</v>
      </c>
    </row>
    <row r="72" spans="1:3" x14ac:dyDescent="0.3">
      <c r="A72" s="19" t="s">
        <v>35</v>
      </c>
      <c r="B72" s="19" t="s">
        <v>82</v>
      </c>
      <c r="C72" s="19" t="s">
        <v>96</v>
      </c>
    </row>
    <row r="73" spans="1:3" x14ac:dyDescent="0.3">
      <c r="A73" s="19" t="s">
        <v>35</v>
      </c>
      <c r="B73" s="19" t="s">
        <v>82</v>
      </c>
      <c r="C73" s="19" t="s">
        <v>95</v>
      </c>
    </row>
    <row r="74" spans="1:3" x14ac:dyDescent="0.3">
      <c r="A74" s="19" t="s">
        <v>35</v>
      </c>
      <c r="B74" s="19" t="s">
        <v>82</v>
      </c>
      <c r="C74" s="19" t="s">
        <v>97</v>
      </c>
    </row>
    <row r="75" spans="1:3" x14ac:dyDescent="0.3">
      <c r="A75" s="19" t="s">
        <v>35</v>
      </c>
      <c r="B75" s="19" t="s">
        <v>82</v>
      </c>
      <c r="C75" s="19" t="s">
        <v>94</v>
      </c>
    </row>
    <row r="76" spans="1:3" x14ac:dyDescent="0.3">
      <c r="A76" s="19" t="s">
        <v>35</v>
      </c>
      <c r="B76" s="19" t="s">
        <v>82</v>
      </c>
      <c r="C76" s="19" t="s">
        <v>93</v>
      </c>
    </row>
    <row r="77" spans="1:3" x14ac:dyDescent="0.3">
      <c r="A77" s="19" t="s">
        <v>35</v>
      </c>
      <c r="B77" s="19" t="s">
        <v>82</v>
      </c>
      <c r="C77" s="19" t="s">
        <v>141</v>
      </c>
    </row>
    <row r="78" spans="1:3" x14ac:dyDescent="0.3">
      <c r="A78" s="19" t="s">
        <v>35</v>
      </c>
      <c r="B78" s="19" t="s">
        <v>82</v>
      </c>
      <c r="C78" s="19" t="s">
        <v>150</v>
      </c>
    </row>
    <row r="79" spans="1:3" x14ac:dyDescent="0.3">
      <c r="A79" s="19" t="s">
        <v>35</v>
      </c>
      <c r="B79" s="19" t="s">
        <v>82</v>
      </c>
      <c r="C79" s="19" t="s">
        <v>168</v>
      </c>
    </row>
    <row r="80" spans="1:3" x14ac:dyDescent="0.3">
      <c r="A80" s="19" t="s">
        <v>35</v>
      </c>
      <c r="B80" s="19" t="s">
        <v>82</v>
      </c>
      <c r="C80" s="19" t="s">
        <v>167</v>
      </c>
    </row>
    <row r="81" spans="1:3" x14ac:dyDescent="0.3">
      <c r="A81" s="19" t="s">
        <v>35</v>
      </c>
      <c r="B81" s="19" t="s">
        <v>83</v>
      </c>
      <c r="C81" s="19" t="s">
        <v>107</v>
      </c>
    </row>
    <row r="82" spans="1:3" x14ac:dyDescent="0.3">
      <c r="A82" s="19" t="s">
        <v>35</v>
      </c>
      <c r="B82" s="19" t="s">
        <v>83</v>
      </c>
      <c r="C82" s="19" t="s">
        <v>143</v>
      </c>
    </row>
    <row r="83" spans="1:3" x14ac:dyDescent="0.3">
      <c r="A83" s="19" t="s">
        <v>35</v>
      </c>
      <c r="B83" s="19" t="s">
        <v>83</v>
      </c>
      <c r="C83" s="19" t="s">
        <v>108</v>
      </c>
    </row>
    <row r="84" spans="1:3" x14ac:dyDescent="0.3">
      <c r="A84" s="19" t="s">
        <v>35</v>
      </c>
      <c r="B84" s="19" t="s">
        <v>83</v>
      </c>
      <c r="C84" s="19" t="s">
        <v>150</v>
      </c>
    </row>
    <row r="85" spans="1:3" x14ac:dyDescent="0.3">
      <c r="A85" s="19" t="s">
        <v>35</v>
      </c>
      <c r="B85" s="19" t="s">
        <v>83</v>
      </c>
      <c r="C85" s="19" t="s">
        <v>167</v>
      </c>
    </row>
    <row r="86" spans="1:3" x14ac:dyDescent="0.3">
      <c r="A86" s="19" t="s">
        <v>35</v>
      </c>
      <c r="B86" s="19" t="s">
        <v>84</v>
      </c>
      <c r="C86" s="19" t="s">
        <v>145</v>
      </c>
    </row>
    <row r="87" spans="1:3" x14ac:dyDescent="0.3">
      <c r="A87" s="19" t="s">
        <v>35</v>
      </c>
      <c r="B87" s="19" t="s">
        <v>84</v>
      </c>
      <c r="C87" s="19" t="s">
        <v>108</v>
      </c>
    </row>
    <row r="88" spans="1:3" x14ac:dyDescent="0.3">
      <c r="A88" s="19" t="s">
        <v>35</v>
      </c>
      <c r="B88" s="19" t="s">
        <v>84</v>
      </c>
      <c r="C88" s="19" t="s">
        <v>144</v>
      </c>
    </row>
    <row r="89" spans="1:3" x14ac:dyDescent="0.3">
      <c r="A89" s="19" t="s">
        <v>35</v>
      </c>
      <c r="B89" s="19" t="s">
        <v>84</v>
      </c>
      <c r="C89" s="19" t="s">
        <v>150</v>
      </c>
    </row>
    <row r="90" spans="1:3" x14ac:dyDescent="0.3">
      <c r="A90" s="19" t="s">
        <v>35</v>
      </c>
      <c r="B90" s="19" t="s">
        <v>84</v>
      </c>
      <c r="C90" s="19" t="s">
        <v>167</v>
      </c>
    </row>
    <row r="91" spans="1:3" x14ac:dyDescent="0.3">
      <c r="A91" s="19" t="s">
        <v>85</v>
      </c>
      <c r="B91" s="19" t="s">
        <v>113</v>
      </c>
      <c r="C91" s="19" t="s">
        <v>110</v>
      </c>
    </row>
    <row r="92" spans="1:3" x14ac:dyDescent="0.3">
      <c r="A92" s="19" t="s">
        <v>85</v>
      </c>
      <c r="B92" s="19" t="s">
        <v>113</v>
      </c>
      <c r="C92" s="19" t="s">
        <v>146</v>
      </c>
    </row>
    <row r="93" spans="1:3" x14ac:dyDescent="0.3">
      <c r="A93" s="19" t="s">
        <v>85</v>
      </c>
      <c r="B93" s="19" t="s">
        <v>109</v>
      </c>
      <c r="C93" s="19" t="s">
        <v>133</v>
      </c>
    </row>
    <row r="94" spans="1:3" x14ac:dyDescent="0.3">
      <c r="A94" s="19" t="s">
        <v>85</v>
      </c>
      <c r="B94" s="19" t="s">
        <v>109</v>
      </c>
      <c r="C94" s="19" t="s">
        <v>169</v>
      </c>
    </row>
    <row r="95" spans="1:3" x14ac:dyDescent="0.3">
      <c r="A95" s="19" t="s">
        <v>85</v>
      </c>
      <c r="B95" s="19" t="s">
        <v>109</v>
      </c>
      <c r="C95" s="19" t="s">
        <v>167</v>
      </c>
    </row>
    <row r="96" spans="1:3" x14ac:dyDescent="0.3">
      <c r="A96" s="19" t="s">
        <v>111</v>
      </c>
      <c r="B96" s="19" t="s">
        <v>77</v>
      </c>
      <c r="C96" s="19" t="s">
        <v>87</v>
      </c>
    </row>
    <row r="97" spans="1:3" x14ac:dyDescent="0.3">
      <c r="A97" s="19" t="s">
        <v>111</v>
      </c>
      <c r="B97" s="19" t="s">
        <v>77</v>
      </c>
      <c r="C97" s="19" t="s">
        <v>171</v>
      </c>
    </row>
    <row r="98" spans="1:3" x14ac:dyDescent="0.3">
      <c r="A98" s="19" t="s">
        <v>111</v>
      </c>
      <c r="B98" s="19" t="s">
        <v>77</v>
      </c>
      <c r="C98" s="19" t="s">
        <v>167</v>
      </c>
    </row>
    <row r="99" spans="1:3" x14ac:dyDescent="0.3">
      <c r="A99" s="19" t="s">
        <v>76</v>
      </c>
      <c r="B99" s="19" t="s">
        <v>112</v>
      </c>
      <c r="C99" s="19" t="s">
        <v>116</v>
      </c>
    </row>
    <row r="100" spans="1:3" x14ac:dyDescent="0.3">
      <c r="A100" s="19" t="s">
        <v>76</v>
      </c>
      <c r="B100" s="19" t="s">
        <v>112</v>
      </c>
      <c r="C100" s="19" t="s">
        <v>115</v>
      </c>
    </row>
    <row r="101" spans="1:3" x14ac:dyDescent="0.3">
      <c r="A101" s="19" t="s">
        <v>76</v>
      </c>
      <c r="B101" s="19" t="s">
        <v>112</v>
      </c>
      <c r="C101" s="19" t="s">
        <v>148</v>
      </c>
    </row>
    <row r="102" spans="1:3" x14ac:dyDescent="0.3">
      <c r="A102" s="19" t="s">
        <v>76</v>
      </c>
      <c r="B102" s="19" t="s">
        <v>112</v>
      </c>
      <c r="C102" s="19" t="s">
        <v>89</v>
      </c>
    </row>
    <row r="103" spans="1:3" x14ac:dyDescent="0.3">
      <c r="A103" s="19" t="s">
        <v>76</v>
      </c>
      <c r="B103" s="19" t="s">
        <v>112</v>
      </c>
      <c r="C103" s="19" t="s">
        <v>114</v>
      </c>
    </row>
    <row r="104" spans="1:3" x14ac:dyDescent="0.3">
      <c r="A104" s="19" t="s">
        <v>76</v>
      </c>
      <c r="B104" s="19" t="s">
        <v>112</v>
      </c>
      <c r="C104" s="19" t="s">
        <v>149</v>
      </c>
    </row>
    <row r="105" spans="1:3" x14ac:dyDescent="0.3">
      <c r="A105" s="19" t="s">
        <v>76</v>
      </c>
      <c r="B105" s="19" t="s">
        <v>112</v>
      </c>
      <c r="C105" s="19" t="s">
        <v>147</v>
      </c>
    </row>
    <row r="106" spans="1:3" x14ac:dyDescent="0.3">
      <c r="A106" s="19" t="s">
        <v>76</v>
      </c>
      <c r="B106" s="19" t="s">
        <v>112</v>
      </c>
      <c r="C106" s="19" t="s">
        <v>167</v>
      </c>
    </row>
  </sheetData>
  <sortState xmlns:xlrd2="http://schemas.microsoft.com/office/spreadsheetml/2017/richdata2" ref="C99:C105">
    <sortCondition ref="C99:C105"/>
  </sortState>
  <mergeCells count="1">
    <mergeCell ref="A1:C2"/>
  </mergeCells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L15"/>
  <sheetViews>
    <sheetView topLeftCell="C1" workbookViewId="0">
      <selection activeCell="D14" sqref="D14"/>
    </sheetView>
  </sheetViews>
  <sheetFormatPr defaultRowHeight="15.75" x14ac:dyDescent="0.3"/>
  <cols>
    <col min="2" max="2" width="12.7109375" bestFit="1" customWidth="1"/>
    <col min="3" max="3" width="28.7109375" bestFit="1" customWidth="1"/>
    <col min="9" max="9" width="32.5703125" bestFit="1" customWidth="1"/>
    <col min="10" max="10" width="20.42578125" bestFit="1" customWidth="1"/>
    <col min="11" max="11" width="20.140625" bestFit="1" customWidth="1"/>
    <col min="12" max="12" width="19.85546875" bestFit="1" customWidth="1"/>
  </cols>
  <sheetData>
    <row r="1" spans="1:12" x14ac:dyDescent="0.3">
      <c r="A1" t="s">
        <v>0</v>
      </c>
      <c r="B1" t="s">
        <v>34</v>
      </c>
      <c r="C1" t="s">
        <v>31</v>
      </c>
      <c r="D1" t="s">
        <v>32</v>
      </c>
      <c r="E1" t="s">
        <v>1</v>
      </c>
      <c r="F1" t="s">
        <v>33</v>
      </c>
    </row>
    <row r="2" spans="1:12" x14ac:dyDescent="0.3">
      <c r="A2">
        <v>44411.637800925928</v>
      </c>
      <c r="B2" t="s">
        <v>37</v>
      </c>
      <c r="C2" t="s">
        <v>40</v>
      </c>
      <c r="D2" t="s">
        <v>57</v>
      </c>
      <c r="F2">
        <v>10</v>
      </c>
    </row>
    <row r="3" spans="1:12" x14ac:dyDescent="0.3">
      <c r="A3">
        <v>44411.638009259259</v>
      </c>
      <c r="B3" t="s">
        <v>37</v>
      </c>
      <c r="C3" t="s">
        <v>42</v>
      </c>
      <c r="D3" t="s">
        <v>58</v>
      </c>
      <c r="F3">
        <v>15</v>
      </c>
      <c r="I3" s="2" t="s">
        <v>63</v>
      </c>
      <c r="J3" t="s">
        <v>66</v>
      </c>
      <c r="K3" t="s">
        <v>67</v>
      </c>
      <c r="L3" t="s">
        <v>65</v>
      </c>
    </row>
    <row r="4" spans="1:12" x14ac:dyDescent="0.3">
      <c r="A4">
        <v>44411.638043981482</v>
      </c>
      <c r="B4" t="s">
        <v>35</v>
      </c>
      <c r="C4" t="s">
        <v>41</v>
      </c>
      <c r="D4" t="s">
        <v>46</v>
      </c>
      <c r="F4">
        <v>51</v>
      </c>
      <c r="I4" s="3" t="s">
        <v>35</v>
      </c>
      <c r="J4" s="1"/>
      <c r="K4" s="1">
        <v>76</v>
      </c>
      <c r="L4" s="1">
        <v>2</v>
      </c>
    </row>
    <row r="5" spans="1:12" x14ac:dyDescent="0.3">
      <c r="A5">
        <v>44411.638032407405</v>
      </c>
      <c r="B5" t="s">
        <v>35</v>
      </c>
      <c r="C5" t="s">
        <v>39</v>
      </c>
      <c r="D5" t="s">
        <v>60</v>
      </c>
      <c r="F5">
        <v>25</v>
      </c>
      <c r="I5" s="4" t="s">
        <v>41</v>
      </c>
      <c r="J5" s="1"/>
      <c r="K5" s="1">
        <v>51</v>
      </c>
      <c r="L5" s="1">
        <v>1</v>
      </c>
    </row>
    <row r="6" spans="1:12" x14ac:dyDescent="0.3">
      <c r="A6">
        <v>44411.638067129628</v>
      </c>
      <c r="B6" t="s">
        <v>45</v>
      </c>
      <c r="C6" t="s">
        <v>36</v>
      </c>
      <c r="D6" t="s">
        <v>59</v>
      </c>
      <c r="F6">
        <v>341</v>
      </c>
      <c r="I6" s="4" t="s">
        <v>39</v>
      </c>
      <c r="J6" s="1"/>
      <c r="K6" s="1">
        <v>25</v>
      </c>
      <c r="L6" s="1">
        <v>1</v>
      </c>
    </row>
    <row r="7" spans="1:12" x14ac:dyDescent="0.3">
      <c r="A7">
        <v>44411.638090277775</v>
      </c>
      <c r="B7" t="s">
        <v>38</v>
      </c>
      <c r="C7" t="s">
        <v>44</v>
      </c>
      <c r="D7" t="s">
        <v>61</v>
      </c>
      <c r="F7">
        <v>52</v>
      </c>
      <c r="I7" s="3" t="s">
        <v>37</v>
      </c>
      <c r="J7" s="1"/>
      <c r="K7" s="1">
        <v>88</v>
      </c>
      <c r="L7" s="1">
        <v>3</v>
      </c>
    </row>
    <row r="8" spans="1:12" x14ac:dyDescent="0.3">
      <c r="A8">
        <v>44411.638356481482</v>
      </c>
      <c r="B8" t="s">
        <v>37</v>
      </c>
      <c r="C8" t="s">
        <v>43</v>
      </c>
      <c r="D8" t="s">
        <v>62</v>
      </c>
      <c r="F8">
        <v>63</v>
      </c>
      <c r="I8" s="4" t="s">
        <v>40</v>
      </c>
      <c r="J8" s="1"/>
      <c r="K8" s="1">
        <v>10</v>
      </c>
      <c r="L8" s="1">
        <v>1</v>
      </c>
    </row>
    <row r="9" spans="1:12" x14ac:dyDescent="0.3">
      <c r="I9" s="4" t="s">
        <v>42</v>
      </c>
      <c r="J9" s="1"/>
      <c r="K9" s="1">
        <v>15</v>
      </c>
      <c r="L9" s="1">
        <v>1</v>
      </c>
    </row>
    <row r="10" spans="1:12" x14ac:dyDescent="0.3">
      <c r="I10" s="4" t="s">
        <v>43</v>
      </c>
      <c r="J10" s="1"/>
      <c r="K10" s="1">
        <v>63</v>
      </c>
      <c r="L10" s="1">
        <v>1</v>
      </c>
    </row>
    <row r="11" spans="1:12" x14ac:dyDescent="0.3">
      <c r="I11" s="3" t="s">
        <v>45</v>
      </c>
      <c r="J11" s="1"/>
      <c r="K11" s="1">
        <v>341</v>
      </c>
      <c r="L11" s="1">
        <v>1</v>
      </c>
    </row>
    <row r="12" spans="1:12" x14ac:dyDescent="0.3">
      <c r="I12" s="4" t="s">
        <v>36</v>
      </c>
      <c r="J12" s="1"/>
      <c r="K12" s="1">
        <v>341</v>
      </c>
      <c r="L12" s="1">
        <v>1</v>
      </c>
    </row>
    <row r="13" spans="1:12" x14ac:dyDescent="0.3">
      <c r="I13" s="3" t="s">
        <v>38</v>
      </c>
      <c r="J13" s="1"/>
      <c r="K13" s="1">
        <v>52</v>
      </c>
      <c r="L13" s="1">
        <v>1</v>
      </c>
    </row>
    <row r="14" spans="1:12" x14ac:dyDescent="0.3">
      <c r="I14" s="4" t="s">
        <v>44</v>
      </c>
      <c r="J14" s="1"/>
      <c r="K14" s="1">
        <v>52</v>
      </c>
      <c r="L14" s="1">
        <v>1</v>
      </c>
    </row>
    <row r="15" spans="1:12" x14ac:dyDescent="0.3">
      <c r="I15" s="3" t="s">
        <v>64</v>
      </c>
      <c r="J15" s="1"/>
      <c r="K15" s="1">
        <v>557</v>
      </c>
      <c r="L15" s="1">
        <v>7</v>
      </c>
    </row>
  </sheetData>
  <sheetProtection algorithmName="SHA-512" hashValue="DR1QHBf6d0XnDZH6ZINldVVwLYg+niI4j7vlWbjPlTVvLjPcMtxo7ykbPRi8/0/GDGX/YM4c+RaI9CNxAxS+Ug==" saltValue="2a5hKDjZYrQqLf9paZkkPg==" spinCount="100000" sheet="1" objects="1" scenarios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M56"/>
  <sheetViews>
    <sheetView workbookViewId="0">
      <selection activeCell="L11" sqref="L11"/>
    </sheetView>
  </sheetViews>
  <sheetFormatPr defaultRowHeight="15.75" x14ac:dyDescent="0.3"/>
  <cols>
    <col min="2" max="4" width="9.140625" customWidth="1"/>
  </cols>
  <sheetData>
    <row r="1" spans="1:13" x14ac:dyDescent="0.3">
      <c r="A1" t="s">
        <v>47</v>
      </c>
      <c r="B1" t="s">
        <v>48</v>
      </c>
      <c r="C1" t="s">
        <v>49</v>
      </c>
      <c r="D1" t="s">
        <v>50</v>
      </c>
      <c r="E1" t="s">
        <v>51</v>
      </c>
      <c r="F1" t="s">
        <v>48</v>
      </c>
    </row>
    <row r="2" spans="1:13" x14ac:dyDescent="0.3">
      <c r="A2" t="s">
        <v>52</v>
      </c>
      <c r="B2" t="s">
        <v>26</v>
      </c>
      <c r="C2" t="s">
        <v>27</v>
      </c>
      <c r="D2" t="s">
        <v>28</v>
      </c>
      <c r="E2" t="s">
        <v>30</v>
      </c>
      <c r="F2" t="s">
        <v>29</v>
      </c>
    </row>
    <row r="3" spans="1:13" x14ac:dyDescent="0.3">
      <c r="B3">
        <v>2</v>
      </c>
      <c r="C3">
        <v>3</v>
      </c>
      <c r="D3">
        <v>4</v>
      </c>
      <c r="E3">
        <v>5</v>
      </c>
      <c r="F3">
        <v>6</v>
      </c>
    </row>
    <row r="4" spans="1:13" x14ac:dyDescent="0.3">
      <c r="A4" s="6" t="s">
        <v>18</v>
      </c>
      <c r="B4" s="7">
        <v>51</v>
      </c>
      <c r="C4" s="7">
        <v>46</v>
      </c>
      <c r="D4" s="7">
        <v>34</v>
      </c>
      <c r="E4" s="7">
        <v>41</v>
      </c>
      <c r="F4" s="8">
        <v>51</v>
      </c>
    </row>
    <row r="5" spans="1:13" x14ac:dyDescent="0.3">
      <c r="A5" s="9" t="s">
        <v>19</v>
      </c>
      <c r="B5" s="10">
        <v>56</v>
      </c>
      <c r="C5" s="10">
        <v>51</v>
      </c>
      <c r="D5" s="10">
        <v>37</v>
      </c>
      <c r="E5" s="10">
        <v>46</v>
      </c>
      <c r="F5" s="11">
        <v>56</v>
      </c>
    </row>
    <row r="6" spans="1:13" x14ac:dyDescent="0.3">
      <c r="A6" s="9" t="s">
        <v>20</v>
      </c>
      <c r="B6" s="10">
        <v>56</v>
      </c>
      <c r="C6" s="10">
        <v>51</v>
      </c>
      <c r="D6" s="10">
        <v>37</v>
      </c>
      <c r="E6" s="10">
        <v>46</v>
      </c>
      <c r="F6" s="11">
        <v>56</v>
      </c>
      <c r="J6" s="10"/>
    </row>
    <row r="7" spans="1:13" x14ac:dyDescent="0.3">
      <c r="A7" s="9" t="s">
        <v>21</v>
      </c>
      <c r="B7" s="10">
        <v>37</v>
      </c>
      <c r="C7" s="10">
        <v>33</v>
      </c>
      <c r="D7" s="10">
        <v>23</v>
      </c>
      <c r="E7" s="10">
        <v>31</v>
      </c>
      <c r="F7" s="11">
        <v>37</v>
      </c>
    </row>
    <row r="8" spans="1:13" x14ac:dyDescent="0.3">
      <c r="A8" s="9" t="s">
        <v>22</v>
      </c>
      <c r="B8" s="10">
        <v>56</v>
      </c>
      <c r="C8" s="10">
        <v>51</v>
      </c>
      <c r="D8" s="10">
        <v>37</v>
      </c>
      <c r="E8" s="10">
        <v>46</v>
      </c>
      <c r="F8" s="11">
        <v>56</v>
      </c>
    </row>
    <row r="9" spans="1:13" x14ac:dyDescent="0.3">
      <c r="A9" s="9" t="s">
        <v>23</v>
      </c>
      <c r="B9" s="10">
        <v>56</v>
      </c>
      <c r="C9" s="10">
        <v>51</v>
      </c>
      <c r="D9" s="10">
        <v>37</v>
      </c>
      <c r="E9" s="10">
        <v>46</v>
      </c>
      <c r="F9" s="11">
        <v>56</v>
      </c>
    </row>
    <row r="10" spans="1:13" x14ac:dyDescent="0.3">
      <c r="A10" s="9" t="s">
        <v>24</v>
      </c>
      <c r="B10" s="10">
        <v>56</v>
      </c>
      <c r="C10" s="10">
        <v>51</v>
      </c>
      <c r="D10" s="10">
        <v>37</v>
      </c>
      <c r="E10" s="10">
        <v>46</v>
      </c>
      <c r="F10" s="11">
        <v>56</v>
      </c>
    </row>
    <row r="11" spans="1:13" x14ac:dyDescent="0.3">
      <c r="A11" s="12" t="s">
        <v>25</v>
      </c>
      <c r="B11" s="13">
        <v>46</v>
      </c>
      <c r="C11" s="13">
        <v>41</v>
      </c>
      <c r="D11" s="13">
        <v>31</v>
      </c>
      <c r="E11" s="13">
        <v>37</v>
      </c>
      <c r="F11" s="14">
        <v>46</v>
      </c>
    </row>
    <row r="12" spans="1:13" x14ac:dyDescent="0.3">
      <c r="A12" t="s">
        <v>2</v>
      </c>
      <c r="B12">
        <v>51</v>
      </c>
      <c r="C12">
        <v>46</v>
      </c>
      <c r="D12">
        <v>34</v>
      </c>
      <c r="E12">
        <v>41</v>
      </c>
      <c r="F12">
        <v>51</v>
      </c>
    </row>
    <row r="13" spans="1:13" x14ac:dyDescent="0.3">
      <c r="A13" t="s">
        <v>3</v>
      </c>
      <c r="B13">
        <v>56</v>
      </c>
      <c r="C13">
        <v>51</v>
      </c>
      <c r="D13">
        <v>37</v>
      </c>
      <c r="E13">
        <v>46</v>
      </c>
      <c r="F13">
        <v>56</v>
      </c>
    </row>
    <row r="14" spans="1:13" x14ac:dyDescent="0.3">
      <c r="A14" t="s">
        <v>4</v>
      </c>
      <c r="B14">
        <v>56</v>
      </c>
      <c r="C14">
        <v>51</v>
      </c>
      <c r="D14">
        <v>37</v>
      </c>
      <c r="E14">
        <v>46</v>
      </c>
      <c r="F14">
        <v>56</v>
      </c>
    </row>
    <row r="15" spans="1:13" x14ac:dyDescent="0.3">
      <c r="A15" t="s">
        <v>5</v>
      </c>
      <c r="B15">
        <v>37</v>
      </c>
      <c r="C15">
        <v>33</v>
      </c>
      <c r="D15">
        <v>23</v>
      </c>
      <c r="E15">
        <v>31</v>
      </c>
      <c r="F15">
        <v>37</v>
      </c>
    </row>
    <row r="16" spans="1:13" x14ac:dyDescent="0.3">
      <c r="A16" t="s">
        <v>6</v>
      </c>
      <c r="B16">
        <v>56</v>
      </c>
      <c r="C16">
        <v>51</v>
      </c>
      <c r="D16">
        <v>37</v>
      </c>
      <c r="E16">
        <v>46</v>
      </c>
      <c r="F16">
        <v>56</v>
      </c>
      <c r="K16" s="5"/>
      <c r="L16" s="5"/>
      <c r="M16" s="5"/>
    </row>
    <row r="17" spans="1:13" x14ac:dyDescent="0.3">
      <c r="A17" t="s">
        <v>7</v>
      </c>
      <c r="B17">
        <v>56</v>
      </c>
      <c r="C17">
        <v>51</v>
      </c>
      <c r="D17">
        <v>37</v>
      </c>
      <c r="E17">
        <v>46</v>
      </c>
      <c r="F17">
        <v>56</v>
      </c>
      <c r="K17" s="5"/>
      <c r="L17" s="5"/>
      <c r="M17" s="5"/>
    </row>
    <row r="18" spans="1:13" x14ac:dyDescent="0.3">
      <c r="A18" t="s">
        <v>8</v>
      </c>
      <c r="B18">
        <v>56</v>
      </c>
      <c r="C18">
        <v>51</v>
      </c>
      <c r="D18">
        <v>37</v>
      </c>
      <c r="E18">
        <v>46</v>
      </c>
      <c r="F18">
        <v>56</v>
      </c>
      <c r="K18" s="5"/>
      <c r="L18" s="5"/>
      <c r="M18" s="5"/>
    </row>
    <row r="19" spans="1:13" x14ac:dyDescent="0.3">
      <c r="A19" t="s">
        <v>9</v>
      </c>
      <c r="B19">
        <v>46</v>
      </c>
      <c r="C19">
        <v>41</v>
      </c>
      <c r="D19">
        <v>31</v>
      </c>
      <c r="E19">
        <v>37</v>
      </c>
      <c r="F19">
        <v>46</v>
      </c>
      <c r="K19" s="5"/>
      <c r="L19" s="5"/>
      <c r="M19" s="5"/>
    </row>
    <row r="20" spans="1:13" x14ac:dyDescent="0.3">
      <c r="A20" s="6" t="s">
        <v>10</v>
      </c>
      <c r="B20" s="7">
        <v>51</v>
      </c>
      <c r="C20" s="7">
        <v>46</v>
      </c>
      <c r="D20" s="7">
        <v>34</v>
      </c>
      <c r="E20" s="7">
        <v>41</v>
      </c>
      <c r="F20" s="8">
        <v>51</v>
      </c>
      <c r="K20" s="5"/>
      <c r="L20" s="5"/>
      <c r="M20" s="5"/>
    </row>
    <row r="21" spans="1:13" x14ac:dyDescent="0.3">
      <c r="A21" s="9" t="s">
        <v>11</v>
      </c>
      <c r="B21" s="10">
        <v>56</v>
      </c>
      <c r="C21" s="10">
        <v>51</v>
      </c>
      <c r="D21" s="10">
        <v>37</v>
      </c>
      <c r="E21" s="10">
        <v>46</v>
      </c>
      <c r="F21" s="11">
        <v>56</v>
      </c>
      <c r="K21" s="5"/>
      <c r="L21" s="5"/>
      <c r="M21" s="5"/>
    </row>
    <row r="22" spans="1:13" x14ac:dyDescent="0.3">
      <c r="A22" s="9" t="s">
        <v>12</v>
      </c>
      <c r="B22" s="10">
        <v>56</v>
      </c>
      <c r="C22" s="10">
        <v>51</v>
      </c>
      <c r="D22" s="10">
        <v>37</v>
      </c>
      <c r="E22" s="10">
        <v>46</v>
      </c>
      <c r="F22" s="11">
        <v>56</v>
      </c>
      <c r="K22" s="5"/>
      <c r="L22" s="5"/>
      <c r="M22" s="5"/>
    </row>
    <row r="23" spans="1:13" x14ac:dyDescent="0.3">
      <c r="A23" s="9" t="s">
        <v>13</v>
      </c>
      <c r="B23" s="10">
        <v>37</v>
      </c>
      <c r="C23" s="10">
        <v>33</v>
      </c>
      <c r="D23" s="10">
        <v>23</v>
      </c>
      <c r="E23" s="10">
        <v>31</v>
      </c>
      <c r="F23" s="11">
        <v>37</v>
      </c>
      <c r="K23" s="5"/>
      <c r="L23" s="5"/>
      <c r="M23" s="5"/>
    </row>
    <row r="24" spans="1:13" x14ac:dyDescent="0.3">
      <c r="A24" s="9" t="s">
        <v>14</v>
      </c>
      <c r="B24" s="10">
        <v>56</v>
      </c>
      <c r="C24" s="10">
        <v>51</v>
      </c>
      <c r="D24" s="10">
        <v>37</v>
      </c>
      <c r="E24" s="10">
        <v>46</v>
      </c>
      <c r="F24" s="11">
        <v>56</v>
      </c>
      <c r="K24" s="5"/>
      <c r="L24" s="5"/>
      <c r="M24" s="5"/>
    </row>
    <row r="25" spans="1:13" x14ac:dyDescent="0.3">
      <c r="A25" s="9" t="s">
        <v>15</v>
      </c>
      <c r="B25" s="10">
        <v>56</v>
      </c>
      <c r="C25" s="10">
        <v>51</v>
      </c>
      <c r="D25" s="10">
        <v>37</v>
      </c>
      <c r="E25" s="10">
        <v>46</v>
      </c>
      <c r="F25" s="11">
        <v>56</v>
      </c>
      <c r="K25" s="5"/>
      <c r="L25" s="5"/>
      <c r="M25" s="5"/>
    </row>
    <row r="26" spans="1:13" x14ac:dyDescent="0.3">
      <c r="A26" s="9" t="s">
        <v>16</v>
      </c>
      <c r="B26" s="10">
        <v>56</v>
      </c>
      <c r="C26" s="10">
        <v>51</v>
      </c>
      <c r="D26" s="10">
        <v>37</v>
      </c>
      <c r="E26" s="10">
        <v>46</v>
      </c>
      <c r="F26" s="11">
        <v>56</v>
      </c>
      <c r="K26" s="5"/>
      <c r="L26" s="5"/>
      <c r="M26" s="5"/>
    </row>
    <row r="27" spans="1:13" x14ac:dyDescent="0.3">
      <c r="A27" s="12" t="s">
        <v>17</v>
      </c>
      <c r="B27" s="13">
        <v>46</v>
      </c>
      <c r="C27" s="13">
        <v>41</v>
      </c>
      <c r="D27" s="13">
        <v>31</v>
      </c>
      <c r="E27" s="13">
        <v>37</v>
      </c>
      <c r="F27" s="14">
        <v>46</v>
      </c>
      <c r="K27" s="5"/>
      <c r="L27" s="5"/>
      <c r="M27" s="5"/>
    </row>
    <row r="28" spans="1:13" x14ac:dyDescent="0.3">
      <c r="K28" s="5"/>
      <c r="L28" s="5"/>
      <c r="M28" s="5"/>
    </row>
    <row r="29" spans="1:13" x14ac:dyDescent="0.3">
      <c r="K29" s="5"/>
      <c r="L29" s="5"/>
      <c r="M29" s="5"/>
    </row>
    <row r="30" spans="1:13" x14ac:dyDescent="0.3">
      <c r="C30" s="5"/>
      <c r="D30" s="5"/>
      <c r="E30" s="5"/>
      <c r="F30" s="5"/>
      <c r="G30" s="5"/>
      <c r="H30" s="5"/>
      <c r="K30" s="5"/>
      <c r="L30" s="5"/>
      <c r="M30" s="5"/>
    </row>
    <row r="31" spans="1:13" x14ac:dyDescent="0.3">
      <c r="C31" s="5"/>
      <c r="E31" s="5"/>
      <c r="G31" s="5"/>
      <c r="H31" s="1"/>
    </row>
    <row r="32" spans="1:13" x14ac:dyDescent="0.3">
      <c r="C32" s="5"/>
      <c r="E32" s="5"/>
      <c r="G32" s="5"/>
      <c r="H32" s="1"/>
    </row>
    <row r="33" spans="3:8" x14ac:dyDescent="0.3">
      <c r="C33" s="5"/>
      <c r="E33" s="5"/>
      <c r="G33" s="5"/>
      <c r="H33" s="1"/>
    </row>
    <row r="34" spans="3:8" x14ac:dyDescent="0.3">
      <c r="C34" s="5"/>
      <c r="E34" s="5"/>
      <c r="G34" s="5"/>
      <c r="H34" s="1"/>
    </row>
    <row r="35" spans="3:8" x14ac:dyDescent="0.3">
      <c r="C35" s="5"/>
      <c r="E35" s="5"/>
      <c r="G35" s="5"/>
      <c r="H35" s="1"/>
    </row>
    <row r="36" spans="3:8" x14ac:dyDescent="0.3">
      <c r="C36" s="5"/>
      <c r="E36" s="5"/>
      <c r="G36" s="5"/>
      <c r="H36" s="1"/>
    </row>
    <row r="37" spans="3:8" x14ac:dyDescent="0.3">
      <c r="C37" s="5"/>
      <c r="E37" s="5"/>
      <c r="G37" s="5"/>
      <c r="H37" s="1"/>
    </row>
    <row r="38" spans="3:8" x14ac:dyDescent="0.3">
      <c r="C38" s="5"/>
      <c r="E38" s="5"/>
      <c r="G38" s="5"/>
      <c r="H38" s="1"/>
    </row>
    <row r="39" spans="3:8" x14ac:dyDescent="0.3">
      <c r="D39" s="5"/>
      <c r="E39" s="5"/>
      <c r="F39" s="1"/>
      <c r="G39" s="5"/>
      <c r="H39" s="5"/>
    </row>
    <row r="55" spans="3:3" x14ac:dyDescent="0.3">
      <c r="C55" s="5"/>
    </row>
    <row r="56" spans="3:3" x14ac:dyDescent="0.3">
      <c r="C56" s="5"/>
    </row>
  </sheetData>
  <sheetProtection algorithmName="SHA-512" hashValue="wXCBv4fhqK7AdDN/EpXkAgSI1K/dPY4iX9jWLWHk9MhWkAVKtKz3Tr6HQ3bSuWhrRYBZRFSjpiUFMVbdFD0vZQ==" saltValue="luJ0+lcXZBpqvaKXoceSAQ==" spinCount="100000" sheet="1" objects="1" scenarios="1"/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F27"/>
  <sheetViews>
    <sheetView workbookViewId="0">
      <selection activeCell="L23" sqref="L23"/>
    </sheetView>
  </sheetViews>
  <sheetFormatPr defaultRowHeight="15.75" x14ac:dyDescent="0.3"/>
  <sheetData>
    <row r="1" spans="1:6" x14ac:dyDescent="0.3">
      <c r="A1" t="s">
        <v>53</v>
      </c>
      <c r="B1" t="s">
        <v>48</v>
      </c>
      <c r="C1" t="s">
        <v>54</v>
      </c>
      <c r="D1" t="s">
        <v>50</v>
      </c>
      <c r="E1" t="s">
        <v>51</v>
      </c>
    </row>
    <row r="2" spans="1:6" x14ac:dyDescent="0.3">
      <c r="A2" t="s">
        <v>52</v>
      </c>
      <c r="B2" t="s">
        <v>26</v>
      </c>
      <c r="C2" t="s">
        <v>27</v>
      </c>
      <c r="D2" t="s">
        <v>28</v>
      </c>
      <c r="E2" t="s">
        <v>30</v>
      </c>
      <c r="F2" t="s">
        <v>29</v>
      </c>
    </row>
    <row r="3" spans="1:6" x14ac:dyDescent="0.3">
      <c r="B3">
        <v>2</v>
      </c>
      <c r="C3">
        <v>3</v>
      </c>
      <c r="D3">
        <v>4</v>
      </c>
      <c r="E3">
        <v>5</v>
      </c>
      <c r="F3">
        <v>6</v>
      </c>
    </row>
    <row r="4" spans="1:6" x14ac:dyDescent="0.3">
      <c r="A4" s="6" t="s">
        <v>18</v>
      </c>
      <c r="B4" s="7">
        <v>57</v>
      </c>
      <c r="C4" s="7">
        <v>54</v>
      </c>
      <c r="D4" s="7">
        <v>41</v>
      </c>
      <c r="E4" s="7">
        <v>47</v>
      </c>
      <c r="F4" s="8">
        <v>57</v>
      </c>
    </row>
    <row r="5" spans="1:6" x14ac:dyDescent="0.3">
      <c r="A5" s="9" t="s">
        <v>19</v>
      </c>
      <c r="B5" s="10">
        <v>62</v>
      </c>
      <c r="C5" s="10">
        <v>59</v>
      </c>
      <c r="D5" s="10">
        <v>45</v>
      </c>
      <c r="E5" s="10">
        <v>51</v>
      </c>
      <c r="F5" s="11">
        <v>62</v>
      </c>
    </row>
    <row r="6" spans="1:6" x14ac:dyDescent="0.3">
      <c r="A6" s="9" t="s">
        <v>20</v>
      </c>
      <c r="B6" s="10">
        <v>62</v>
      </c>
      <c r="C6" s="10">
        <v>59</v>
      </c>
      <c r="D6" s="10">
        <v>45</v>
      </c>
      <c r="E6" s="10">
        <v>51</v>
      </c>
      <c r="F6" s="11">
        <v>62</v>
      </c>
    </row>
    <row r="7" spans="1:6" x14ac:dyDescent="0.3">
      <c r="A7" s="9" t="s">
        <v>21</v>
      </c>
      <c r="B7" s="10">
        <v>41</v>
      </c>
      <c r="C7" s="10">
        <v>38</v>
      </c>
      <c r="D7" s="10">
        <v>30</v>
      </c>
      <c r="E7" s="10">
        <v>33</v>
      </c>
      <c r="F7" s="11">
        <v>41</v>
      </c>
    </row>
    <row r="8" spans="1:6" x14ac:dyDescent="0.3">
      <c r="A8" s="9" t="s">
        <v>22</v>
      </c>
      <c r="B8" s="10">
        <v>62</v>
      </c>
      <c r="C8" s="10">
        <v>59</v>
      </c>
      <c r="D8" s="10">
        <v>45</v>
      </c>
      <c r="E8" s="10">
        <v>51</v>
      </c>
      <c r="F8" s="11">
        <v>62</v>
      </c>
    </row>
    <row r="9" spans="1:6" x14ac:dyDescent="0.3">
      <c r="A9" s="9" t="s">
        <v>23</v>
      </c>
      <c r="B9" s="10">
        <v>62</v>
      </c>
      <c r="C9" s="10">
        <v>59</v>
      </c>
      <c r="D9" s="10">
        <v>45</v>
      </c>
      <c r="E9" s="10">
        <v>51</v>
      </c>
      <c r="F9" s="11">
        <v>62</v>
      </c>
    </row>
    <row r="10" spans="1:6" x14ac:dyDescent="0.3">
      <c r="A10" s="9" t="s">
        <v>24</v>
      </c>
      <c r="B10" s="10">
        <v>62</v>
      </c>
      <c r="C10" s="10">
        <v>59</v>
      </c>
      <c r="D10" s="10">
        <v>45</v>
      </c>
      <c r="E10" s="10">
        <v>51</v>
      </c>
      <c r="F10" s="11">
        <v>62</v>
      </c>
    </row>
    <row r="11" spans="1:6" x14ac:dyDescent="0.3">
      <c r="A11" s="12" t="s">
        <v>25</v>
      </c>
      <c r="B11" s="13">
        <v>52</v>
      </c>
      <c r="C11" s="13">
        <v>49</v>
      </c>
      <c r="D11" s="13">
        <v>37</v>
      </c>
      <c r="E11" s="13">
        <v>41</v>
      </c>
      <c r="F11" s="14">
        <v>52</v>
      </c>
    </row>
    <row r="12" spans="1:6" x14ac:dyDescent="0.3">
      <c r="A12" t="s">
        <v>2</v>
      </c>
      <c r="B12">
        <v>57</v>
      </c>
      <c r="C12">
        <v>54</v>
      </c>
      <c r="D12">
        <v>41</v>
      </c>
      <c r="E12">
        <v>47</v>
      </c>
      <c r="F12">
        <v>57</v>
      </c>
    </row>
    <row r="13" spans="1:6" x14ac:dyDescent="0.3">
      <c r="A13" t="s">
        <v>3</v>
      </c>
      <c r="B13">
        <v>62</v>
      </c>
      <c r="C13">
        <v>59</v>
      </c>
      <c r="D13">
        <v>45</v>
      </c>
      <c r="E13">
        <v>51</v>
      </c>
      <c r="F13">
        <v>62</v>
      </c>
    </row>
    <row r="14" spans="1:6" x14ac:dyDescent="0.3">
      <c r="A14" t="s">
        <v>4</v>
      </c>
      <c r="B14">
        <v>62</v>
      </c>
      <c r="C14">
        <v>59</v>
      </c>
      <c r="D14">
        <v>45</v>
      </c>
      <c r="E14">
        <v>51</v>
      </c>
      <c r="F14">
        <v>62</v>
      </c>
    </row>
    <row r="15" spans="1:6" x14ac:dyDescent="0.3">
      <c r="A15" t="s">
        <v>5</v>
      </c>
      <c r="B15">
        <v>41</v>
      </c>
      <c r="C15">
        <v>38</v>
      </c>
      <c r="D15">
        <v>30</v>
      </c>
      <c r="E15">
        <v>33</v>
      </c>
      <c r="F15">
        <v>41</v>
      </c>
    </row>
    <row r="16" spans="1:6" x14ac:dyDescent="0.3">
      <c r="A16" t="s">
        <v>6</v>
      </c>
      <c r="B16">
        <v>62</v>
      </c>
      <c r="C16">
        <v>59</v>
      </c>
      <c r="D16">
        <v>45</v>
      </c>
      <c r="E16">
        <v>51</v>
      </c>
      <c r="F16">
        <v>62</v>
      </c>
    </row>
    <row r="17" spans="1:6" x14ac:dyDescent="0.3">
      <c r="A17" t="s">
        <v>7</v>
      </c>
      <c r="B17">
        <v>62</v>
      </c>
      <c r="C17">
        <v>59</v>
      </c>
      <c r="D17">
        <v>45</v>
      </c>
      <c r="E17">
        <v>51</v>
      </c>
      <c r="F17">
        <v>62</v>
      </c>
    </row>
    <row r="18" spans="1:6" x14ac:dyDescent="0.3">
      <c r="A18" t="s">
        <v>8</v>
      </c>
      <c r="B18">
        <v>62</v>
      </c>
      <c r="C18">
        <v>59</v>
      </c>
      <c r="D18">
        <v>45</v>
      </c>
      <c r="E18">
        <v>51</v>
      </c>
      <c r="F18">
        <v>62</v>
      </c>
    </row>
    <row r="19" spans="1:6" x14ac:dyDescent="0.3">
      <c r="A19" t="s">
        <v>9</v>
      </c>
      <c r="B19">
        <v>52</v>
      </c>
      <c r="C19">
        <v>49</v>
      </c>
      <c r="D19">
        <v>37</v>
      </c>
      <c r="E19">
        <v>41</v>
      </c>
      <c r="F19">
        <v>52</v>
      </c>
    </row>
    <row r="20" spans="1:6" x14ac:dyDescent="0.3">
      <c r="A20" s="6" t="s">
        <v>10</v>
      </c>
      <c r="B20" s="7">
        <v>57</v>
      </c>
      <c r="C20" s="7">
        <v>54</v>
      </c>
      <c r="D20" s="7">
        <v>41</v>
      </c>
      <c r="E20" s="7">
        <v>47</v>
      </c>
      <c r="F20" s="8">
        <v>57</v>
      </c>
    </row>
    <row r="21" spans="1:6" x14ac:dyDescent="0.3">
      <c r="A21" s="9" t="s">
        <v>11</v>
      </c>
      <c r="B21" s="10">
        <v>62</v>
      </c>
      <c r="C21" s="10">
        <v>59</v>
      </c>
      <c r="D21" s="10">
        <v>45</v>
      </c>
      <c r="E21" s="10">
        <v>51</v>
      </c>
      <c r="F21" s="11">
        <v>62</v>
      </c>
    </row>
    <row r="22" spans="1:6" x14ac:dyDescent="0.3">
      <c r="A22" s="9" t="s">
        <v>12</v>
      </c>
      <c r="B22" s="10">
        <v>62</v>
      </c>
      <c r="C22" s="10">
        <v>59</v>
      </c>
      <c r="D22" s="10">
        <v>45</v>
      </c>
      <c r="E22" s="10">
        <v>51</v>
      </c>
      <c r="F22" s="11">
        <v>62</v>
      </c>
    </row>
    <row r="23" spans="1:6" x14ac:dyDescent="0.3">
      <c r="A23" s="9" t="s">
        <v>13</v>
      </c>
      <c r="B23" s="10">
        <v>41</v>
      </c>
      <c r="C23" s="10">
        <v>38</v>
      </c>
      <c r="D23" s="10">
        <v>30</v>
      </c>
      <c r="E23" s="10">
        <v>33</v>
      </c>
      <c r="F23" s="11">
        <v>41</v>
      </c>
    </row>
    <row r="24" spans="1:6" x14ac:dyDescent="0.3">
      <c r="A24" s="9" t="s">
        <v>14</v>
      </c>
      <c r="B24" s="10">
        <v>62</v>
      </c>
      <c r="C24" s="10">
        <v>59</v>
      </c>
      <c r="D24" s="10">
        <v>45</v>
      </c>
      <c r="E24" s="10">
        <v>51</v>
      </c>
      <c r="F24" s="11">
        <v>62</v>
      </c>
    </row>
    <row r="25" spans="1:6" x14ac:dyDescent="0.3">
      <c r="A25" s="9" t="s">
        <v>15</v>
      </c>
      <c r="B25" s="10">
        <v>62</v>
      </c>
      <c r="C25" s="10">
        <v>59</v>
      </c>
      <c r="D25" s="10">
        <v>45</v>
      </c>
      <c r="E25" s="10">
        <v>51</v>
      </c>
      <c r="F25" s="11">
        <v>62</v>
      </c>
    </row>
    <row r="26" spans="1:6" x14ac:dyDescent="0.3">
      <c r="A26" s="9" t="s">
        <v>16</v>
      </c>
      <c r="B26" s="10">
        <v>62</v>
      </c>
      <c r="C26" s="10">
        <v>59</v>
      </c>
      <c r="D26" s="10">
        <v>45</v>
      </c>
      <c r="E26" s="10">
        <v>51</v>
      </c>
      <c r="F26" s="11">
        <v>62</v>
      </c>
    </row>
    <row r="27" spans="1:6" x14ac:dyDescent="0.3">
      <c r="A27" s="12" t="s">
        <v>17</v>
      </c>
      <c r="B27" s="13">
        <v>52</v>
      </c>
      <c r="C27" s="13">
        <v>49</v>
      </c>
      <c r="D27" s="13">
        <v>37</v>
      </c>
      <c r="E27" s="13">
        <v>41</v>
      </c>
      <c r="F27" s="14">
        <v>52</v>
      </c>
    </row>
  </sheetData>
  <sheetProtection algorithmName="SHA-512" hashValue="drfFGDd4vsjWT0nFf6CNVpmdbrXzfO97Ubz1JlnTvB0KryWp25fonSkvTLAN15mH9o67L8Vfhi+UqbGKmcX1Zg==" saltValue="a1CgqzgI/Y7xKZf6jX76YA==" spinCount="100000" sheet="1" objects="1" scenarios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27"/>
  <sheetViews>
    <sheetView workbookViewId="0">
      <selection activeCell="J10" sqref="J10"/>
    </sheetView>
  </sheetViews>
  <sheetFormatPr defaultRowHeight="15.75" x14ac:dyDescent="0.3"/>
  <sheetData>
    <row r="1" spans="1:6" x14ac:dyDescent="0.3">
      <c r="A1" t="s">
        <v>56</v>
      </c>
      <c r="B1" t="s">
        <v>48</v>
      </c>
      <c r="C1" t="s">
        <v>54</v>
      </c>
      <c r="D1" t="s">
        <v>50</v>
      </c>
      <c r="E1" t="s">
        <v>51</v>
      </c>
    </row>
    <row r="2" spans="1:6" x14ac:dyDescent="0.3">
      <c r="A2" t="s">
        <v>52</v>
      </c>
      <c r="B2" t="s">
        <v>26</v>
      </c>
      <c r="C2" t="s">
        <v>27</v>
      </c>
      <c r="D2" t="s">
        <v>28</v>
      </c>
      <c r="E2" t="s">
        <v>30</v>
      </c>
      <c r="F2" t="s">
        <v>29</v>
      </c>
    </row>
    <row r="3" spans="1:6" x14ac:dyDescent="0.3">
      <c r="B3">
        <v>2</v>
      </c>
      <c r="C3">
        <v>3</v>
      </c>
      <c r="D3">
        <v>4</v>
      </c>
      <c r="E3">
        <v>5</v>
      </c>
      <c r="F3">
        <v>6</v>
      </c>
    </row>
    <row r="4" spans="1:6" x14ac:dyDescent="0.3">
      <c r="A4" s="6" t="s">
        <v>18</v>
      </c>
      <c r="B4" s="7">
        <v>58</v>
      </c>
      <c r="C4" s="7">
        <v>58</v>
      </c>
      <c r="D4" s="7">
        <v>41</v>
      </c>
      <c r="E4" s="7">
        <v>54</v>
      </c>
      <c r="F4" s="8">
        <v>58</v>
      </c>
    </row>
    <row r="5" spans="1:6" x14ac:dyDescent="0.3">
      <c r="A5" s="9" t="s">
        <v>19</v>
      </c>
      <c r="B5" s="10">
        <v>64</v>
      </c>
      <c r="C5" s="10">
        <v>64</v>
      </c>
      <c r="D5" s="10">
        <v>45</v>
      </c>
      <c r="E5" s="10">
        <v>59</v>
      </c>
      <c r="F5" s="11">
        <v>64</v>
      </c>
    </row>
    <row r="6" spans="1:6" x14ac:dyDescent="0.3">
      <c r="A6" s="9" t="s">
        <v>20</v>
      </c>
      <c r="B6" s="10">
        <v>64</v>
      </c>
      <c r="C6" s="10">
        <v>64</v>
      </c>
      <c r="D6" s="10">
        <v>45</v>
      </c>
      <c r="E6" s="10">
        <v>59</v>
      </c>
      <c r="F6" s="11">
        <v>64</v>
      </c>
    </row>
    <row r="7" spans="1:6" x14ac:dyDescent="0.3">
      <c r="A7" s="9" t="s">
        <v>21</v>
      </c>
      <c r="B7" s="10">
        <v>43</v>
      </c>
      <c r="C7" s="10">
        <v>43</v>
      </c>
      <c r="D7" s="10">
        <v>30</v>
      </c>
      <c r="E7" s="10">
        <v>38</v>
      </c>
      <c r="F7" s="11">
        <v>43</v>
      </c>
    </row>
    <row r="8" spans="1:6" x14ac:dyDescent="0.3">
      <c r="A8" s="9" t="s">
        <v>22</v>
      </c>
      <c r="B8" s="10">
        <v>64</v>
      </c>
      <c r="C8" s="10">
        <v>64</v>
      </c>
      <c r="D8" s="10">
        <v>45</v>
      </c>
      <c r="E8" s="10">
        <v>59</v>
      </c>
      <c r="F8" s="11">
        <v>64</v>
      </c>
    </row>
    <row r="9" spans="1:6" x14ac:dyDescent="0.3">
      <c r="A9" s="9" t="s">
        <v>23</v>
      </c>
      <c r="B9" s="10">
        <v>64</v>
      </c>
      <c r="C9" s="10">
        <v>64</v>
      </c>
      <c r="D9" s="10">
        <v>45</v>
      </c>
      <c r="E9" s="10">
        <v>59</v>
      </c>
      <c r="F9" s="11">
        <v>64</v>
      </c>
    </row>
    <row r="10" spans="1:6" x14ac:dyDescent="0.3">
      <c r="A10" s="9" t="s">
        <v>24</v>
      </c>
      <c r="B10" s="10">
        <v>64</v>
      </c>
      <c r="C10" s="10">
        <v>64</v>
      </c>
      <c r="D10" s="10">
        <v>45</v>
      </c>
      <c r="E10" s="10">
        <v>59</v>
      </c>
      <c r="F10" s="11">
        <v>64</v>
      </c>
    </row>
    <row r="11" spans="1:6" x14ac:dyDescent="0.3">
      <c r="A11" s="12" t="s">
        <v>25</v>
      </c>
      <c r="B11" s="13">
        <v>53</v>
      </c>
      <c r="C11" s="13">
        <v>53</v>
      </c>
      <c r="D11" s="13">
        <v>37</v>
      </c>
      <c r="E11" s="13">
        <v>49</v>
      </c>
      <c r="F11" s="14">
        <v>53</v>
      </c>
    </row>
    <row r="12" spans="1:6" x14ac:dyDescent="0.3">
      <c r="A12" t="s">
        <v>2</v>
      </c>
      <c r="B12">
        <v>58</v>
      </c>
      <c r="C12">
        <v>58</v>
      </c>
      <c r="D12">
        <v>41</v>
      </c>
      <c r="E12">
        <v>54</v>
      </c>
      <c r="F12">
        <v>58</v>
      </c>
    </row>
    <row r="13" spans="1:6" x14ac:dyDescent="0.3">
      <c r="A13" t="s">
        <v>3</v>
      </c>
      <c r="B13">
        <v>64</v>
      </c>
      <c r="C13">
        <v>64</v>
      </c>
      <c r="D13">
        <v>45</v>
      </c>
      <c r="E13">
        <v>59</v>
      </c>
      <c r="F13">
        <v>64</v>
      </c>
    </row>
    <row r="14" spans="1:6" x14ac:dyDescent="0.3">
      <c r="A14" t="s">
        <v>4</v>
      </c>
      <c r="B14">
        <v>64</v>
      </c>
      <c r="C14">
        <v>64</v>
      </c>
      <c r="D14">
        <v>45</v>
      </c>
      <c r="E14">
        <v>59</v>
      </c>
      <c r="F14">
        <v>64</v>
      </c>
    </row>
    <row r="15" spans="1:6" x14ac:dyDescent="0.3">
      <c r="A15" t="s">
        <v>5</v>
      </c>
      <c r="B15">
        <v>43</v>
      </c>
      <c r="C15">
        <v>43</v>
      </c>
      <c r="D15">
        <v>30</v>
      </c>
      <c r="E15">
        <v>38</v>
      </c>
      <c r="F15">
        <v>43</v>
      </c>
    </row>
    <row r="16" spans="1:6" x14ac:dyDescent="0.3">
      <c r="A16" t="s">
        <v>6</v>
      </c>
      <c r="B16">
        <v>64</v>
      </c>
      <c r="C16">
        <v>64</v>
      </c>
      <c r="D16">
        <v>45</v>
      </c>
      <c r="E16">
        <v>59</v>
      </c>
      <c r="F16">
        <v>64</v>
      </c>
    </row>
    <row r="17" spans="1:6" x14ac:dyDescent="0.3">
      <c r="A17" t="s">
        <v>7</v>
      </c>
      <c r="B17">
        <v>64</v>
      </c>
      <c r="C17">
        <v>64</v>
      </c>
      <c r="D17">
        <v>45</v>
      </c>
      <c r="E17">
        <v>59</v>
      </c>
      <c r="F17">
        <v>64</v>
      </c>
    </row>
    <row r="18" spans="1:6" x14ac:dyDescent="0.3">
      <c r="A18" t="s">
        <v>8</v>
      </c>
      <c r="B18">
        <v>64</v>
      </c>
      <c r="C18">
        <v>64</v>
      </c>
      <c r="D18">
        <v>45</v>
      </c>
      <c r="E18">
        <v>59</v>
      </c>
      <c r="F18">
        <v>64</v>
      </c>
    </row>
    <row r="19" spans="1:6" x14ac:dyDescent="0.3">
      <c r="A19" t="s">
        <v>9</v>
      </c>
      <c r="B19">
        <v>53</v>
      </c>
      <c r="C19">
        <v>53</v>
      </c>
      <c r="D19">
        <v>37</v>
      </c>
      <c r="E19">
        <v>49</v>
      </c>
      <c r="F19">
        <v>53</v>
      </c>
    </row>
    <row r="20" spans="1:6" x14ac:dyDescent="0.3">
      <c r="A20" s="6" t="s">
        <v>10</v>
      </c>
      <c r="B20" s="7">
        <v>58</v>
      </c>
      <c r="C20" s="7">
        <v>58</v>
      </c>
      <c r="D20" s="7">
        <v>41</v>
      </c>
      <c r="E20" s="7">
        <v>54</v>
      </c>
      <c r="F20" s="8">
        <v>58</v>
      </c>
    </row>
    <row r="21" spans="1:6" x14ac:dyDescent="0.3">
      <c r="A21" s="9" t="s">
        <v>11</v>
      </c>
      <c r="B21" s="10">
        <v>64</v>
      </c>
      <c r="C21" s="10">
        <v>64</v>
      </c>
      <c r="D21" s="10">
        <v>45</v>
      </c>
      <c r="E21" s="10">
        <v>59</v>
      </c>
      <c r="F21" s="11">
        <v>64</v>
      </c>
    </row>
    <row r="22" spans="1:6" x14ac:dyDescent="0.3">
      <c r="A22" s="9" t="s">
        <v>12</v>
      </c>
      <c r="B22" s="10">
        <v>64</v>
      </c>
      <c r="C22" s="10">
        <v>64</v>
      </c>
      <c r="D22" s="10">
        <v>45</v>
      </c>
      <c r="E22" s="10">
        <v>59</v>
      </c>
      <c r="F22" s="11">
        <v>64</v>
      </c>
    </row>
    <row r="23" spans="1:6" x14ac:dyDescent="0.3">
      <c r="A23" s="9" t="s">
        <v>13</v>
      </c>
      <c r="B23" s="10">
        <v>43</v>
      </c>
      <c r="C23" s="10">
        <v>43</v>
      </c>
      <c r="D23" s="10">
        <v>30</v>
      </c>
      <c r="E23" s="10">
        <v>38</v>
      </c>
      <c r="F23" s="11">
        <v>43</v>
      </c>
    </row>
    <row r="24" spans="1:6" x14ac:dyDescent="0.3">
      <c r="A24" s="9" t="s">
        <v>14</v>
      </c>
      <c r="B24" s="10">
        <v>64</v>
      </c>
      <c r="C24" s="10">
        <v>64</v>
      </c>
      <c r="D24" s="10">
        <v>45</v>
      </c>
      <c r="E24" s="10">
        <v>59</v>
      </c>
      <c r="F24" s="11">
        <v>64</v>
      </c>
    </row>
    <row r="25" spans="1:6" x14ac:dyDescent="0.3">
      <c r="A25" s="9" t="s">
        <v>15</v>
      </c>
      <c r="B25" s="10">
        <v>64</v>
      </c>
      <c r="C25" s="10">
        <v>64</v>
      </c>
      <c r="D25" s="10">
        <v>45</v>
      </c>
      <c r="E25" s="10">
        <v>59</v>
      </c>
      <c r="F25" s="11">
        <v>64</v>
      </c>
    </row>
    <row r="26" spans="1:6" x14ac:dyDescent="0.3">
      <c r="A26" s="9" t="s">
        <v>16</v>
      </c>
      <c r="B26" s="10">
        <v>64</v>
      </c>
      <c r="C26" s="10">
        <v>64</v>
      </c>
      <c r="D26" s="10">
        <v>45</v>
      </c>
      <c r="E26" s="10">
        <v>59</v>
      </c>
      <c r="F26" s="11">
        <v>64</v>
      </c>
    </row>
    <row r="27" spans="1:6" x14ac:dyDescent="0.3">
      <c r="A27" s="12" t="s">
        <v>17</v>
      </c>
      <c r="B27" s="13">
        <v>53</v>
      </c>
      <c r="C27" s="13">
        <v>53</v>
      </c>
      <c r="D27" s="13">
        <v>37</v>
      </c>
      <c r="E27" s="13">
        <v>49</v>
      </c>
      <c r="F27" s="14">
        <v>53</v>
      </c>
    </row>
  </sheetData>
  <sheetProtection algorithmName="SHA-512" hashValue="FIvKVE7tWpT4dl8yLmWcco+mM6xSs8eRLyuHHWk70sY9HtyYAOc/IYpfCjzXRYDLWMwxAkvOqMmbtiT9G9c/hQ==" saltValue="vBAP2XvcEv66TxfZKOPBhw==" spinCount="100000" sheet="1" objects="1" scenarios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F27"/>
  <sheetViews>
    <sheetView workbookViewId="0">
      <selection activeCell="E19" sqref="E19"/>
    </sheetView>
  </sheetViews>
  <sheetFormatPr defaultRowHeight="15.75" x14ac:dyDescent="0.3"/>
  <sheetData>
    <row r="1" spans="1:6" x14ac:dyDescent="0.3">
      <c r="A1" t="s">
        <v>55</v>
      </c>
      <c r="B1" t="s">
        <v>48</v>
      </c>
      <c r="C1" t="s">
        <v>54</v>
      </c>
      <c r="D1" t="s">
        <v>50</v>
      </c>
      <c r="E1" t="s">
        <v>51</v>
      </c>
    </row>
    <row r="2" spans="1:6" x14ac:dyDescent="0.3">
      <c r="A2" t="s">
        <v>52</v>
      </c>
      <c r="B2" t="s">
        <v>26</v>
      </c>
      <c r="C2" t="s">
        <v>27</v>
      </c>
      <c r="D2" t="s">
        <v>28</v>
      </c>
      <c r="E2" t="s">
        <v>30</v>
      </c>
      <c r="F2" t="s">
        <v>29</v>
      </c>
    </row>
    <row r="3" spans="1:6" x14ac:dyDescent="0.3">
      <c r="B3">
        <v>2</v>
      </c>
      <c r="C3">
        <v>3</v>
      </c>
      <c r="D3">
        <v>4</v>
      </c>
      <c r="E3">
        <v>5</v>
      </c>
      <c r="F3">
        <v>6</v>
      </c>
    </row>
    <row r="4" spans="1:6" x14ac:dyDescent="0.3">
      <c r="A4" s="6" t="s">
        <v>18</v>
      </c>
      <c r="B4" s="7">
        <v>66</v>
      </c>
      <c r="C4" s="7">
        <v>66</v>
      </c>
      <c r="D4" s="7">
        <v>66</v>
      </c>
      <c r="E4" s="7">
        <v>61</v>
      </c>
      <c r="F4" s="8">
        <v>66</v>
      </c>
    </row>
    <row r="5" spans="1:6" x14ac:dyDescent="0.3">
      <c r="A5" s="9" t="s">
        <v>19</v>
      </c>
      <c r="B5" s="10">
        <v>72</v>
      </c>
      <c r="C5" s="10">
        <v>72</v>
      </c>
      <c r="D5" s="10">
        <v>72</v>
      </c>
      <c r="E5" s="10">
        <v>67</v>
      </c>
      <c r="F5" s="11">
        <v>72</v>
      </c>
    </row>
    <row r="6" spans="1:6" x14ac:dyDescent="0.3">
      <c r="A6" s="9" t="s">
        <v>20</v>
      </c>
      <c r="B6" s="10">
        <v>72</v>
      </c>
      <c r="C6" s="10">
        <v>72</v>
      </c>
      <c r="D6" s="10">
        <v>72</v>
      </c>
      <c r="E6" s="10">
        <v>67</v>
      </c>
      <c r="F6" s="11">
        <v>72</v>
      </c>
    </row>
    <row r="7" spans="1:6" x14ac:dyDescent="0.3">
      <c r="A7" s="9" t="s">
        <v>21</v>
      </c>
      <c r="B7" s="10">
        <v>48</v>
      </c>
      <c r="C7" s="10">
        <v>48</v>
      </c>
      <c r="D7" s="10">
        <v>48</v>
      </c>
      <c r="E7" s="10">
        <v>45</v>
      </c>
      <c r="F7" s="11">
        <v>48</v>
      </c>
    </row>
    <row r="8" spans="1:6" x14ac:dyDescent="0.3">
      <c r="A8" s="9" t="s">
        <v>22</v>
      </c>
      <c r="B8" s="10">
        <v>72</v>
      </c>
      <c r="C8" s="10">
        <v>72</v>
      </c>
      <c r="D8" s="10">
        <v>72</v>
      </c>
      <c r="E8" s="10">
        <v>67</v>
      </c>
      <c r="F8" s="11">
        <v>72</v>
      </c>
    </row>
    <row r="9" spans="1:6" x14ac:dyDescent="0.3">
      <c r="A9" s="9" t="s">
        <v>23</v>
      </c>
      <c r="B9" s="10">
        <v>72</v>
      </c>
      <c r="C9" s="10">
        <v>72</v>
      </c>
      <c r="D9" s="10">
        <v>72</v>
      </c>
      <c r="E9" s="10">
        <v>67</v>
      </c>
      <c r="F9" s="11">
        <v>72</v>
      </c>
    </row>
    <row r="10" spans="1:6" x14ac:dyDescent="0.3">
      <c r="A10" s="9" t="s">
        <v>24</v>
      </c>
      <c r="B10" s="10">
        <v>72</v>
      </c>
      <c r="C10" s="10">
        <v>72</v>
      </c>
      <c r="D10" s="10">
        <v>72</v>
      </c>
      <c r="E10" s="10">
        <v>67</v>
      </c>
      <c r="F10" s="11">
        <v>72</v>
      </c>
    </row>
    <row r="11" spans="1:6" x14ac:dyDescent="0.3">
      <c r="A11" s="12" t="s">
        <v>25</v>
      </c>
      <c r="B11" s="13">
        <v>60</v>
      </c>
      <c r="C11" s="13">
        <v>60</v>
      </c>
      <c r="D11" s="13">
        <v>60</v>
      </c>
      <c r="E11" s="13">
        <v>56</v>
      </c>
      <c r="F11" s="14">
        <v>60</v>
      </c>
    </row>
    <row r="12" spans="1:6" x14ac:dyDescent="0.3">
      <c r="A12" t="s">
        <v>2</v>
      </c>
      <c r="B12">
        <v>66</v>
      </c>
      <c r="C12">
        <v>66</v>
      </c>
      <c r="D12">
        <v>66</v>
      </c>
      <c r="E12">
        <v>61</v>
      </c>
      <c r="F12">
        <v>66</v>
      </c>
    </row>
    <row r="13" spans="1:6" x14ac:dyDescent="0.3">
      <c r="A13" t="s">
        <v>3</v>
      </c>
      <c r="B13">
        <v>72</v>
      </c>
      <c r="C13">
        <v>72</v>
      </c>
      <c r="D13">
        <v>72</v>
      </c>
      <c r="E13">
        <v>67</v>
      </c>
      <c r="F13">
        <v>72</v>
      </c>
    </row>
    <row r="14" spans="1:6" x14ac:dyDescent="0.3">
      <c r="A14" t="s">
        <v>4</v>
      </c>
      <c r="B14">
        <v>72</v>
      </c>
      <c r="C14">
        <v>72</v>
      </c>
      <c r="D14">
        <v>72</v>
      </c>
      <c r="E14">
        <v>67</v>
      </c>
      <c r="F14">
        <v>72</v>
      </c>
    </row>
    <row r="15" spans="1:6" x14ac:dyDescent="0.3">
      <c r="A15" t="s">
        <v>5</v>
      </c>
      <c r="B15">
        <v>48</v>
      </c>
      <c r="C15">
        <v>48</v>
      </c>
      <c r="D15">
        <v>48</v>
      </c>
      <c r="E15">
        <v>45</v>
      </c>
      <c r="F15">
        <v>48</v>
      </c>
    </row>
    <row r="16" spans="1:6" x14ac:dyDescent="0.3">
      <c r="A16" t="s">
        <v>6</v>
      </c>
      <c r="B16">
        <v>72</v>
      </c>
      <c r="C16">
        <v>72</v>
      </c>
      <c r="D16">
        <v>72</v>
      </c>
      <c r="E16">
        <v>67</v>
      </c>
      <c r="F16">
        <v>72</v>
      </c>
    </row>
    <row r="17" spans="1:6" x14ac:dyDescent="0.3">
      <c r="A17" t="s">
        <v>7</v>
      </c>
      <c r="B17">
        <v>72</v>
      </c>
      <c r="C17">
        <v>72</v>
      </c>
      <c r="D17">
        <v>72</v>
      </c>
      <c r="E17">
        <v>67</v>
      </c>
      <c r="F17">
        <v>72</v>
      </c>
    </row>
    <row r="18" spans="1:6" x14ac:dyDescent="0.3">
      <c r="A18" t="s">
        <v>8</v>
      </c>
      <c r="B18">
        <v>72</v>
      </c>
      <c r="C18">
        <v>72</v>
      </c>
      <c r="D18">
        <v>72</v>
      </c>
      <c r="E18">
        <v>67</v>
      </c>
      <c r="F18">
        <v>72</v>
      </c>
    </row>
    <row r="19" spans="1:6" x14ac:dyDescent="0.3">
      <c r="A19" t="s">
        <v>9</v>
      </c>
      <c r="B19">
        <v>60</v>
      </c>
      <c r="C19">
        <v>60</v>
      </c>
      <c r="D19">
        <v>60</v>
      </c>
      <c r="E19">
        <v>56</v>
      </c>
      <c r="F19">
        <v>60</v>
      </c>
    </row>
    <row r="20" spans="1:6" x14ac:dyDescent="0.3">
      <c r="A20" s="6" t="s">
        <v>10</v>
      </c>
      <c r="B20" s="7">
        <v>66</v>
      </c>
      <c r="C20" s="7">
        <v>66</v>
      </c>
      <c r="D20" s="7">
        <v>66</v>
      </c>
      <c r="E20" s="7">
        <v>61</v>
      </c>
      <c r="F20" s="8">
        <v>66</v>
      </c>
    </row>
    <row r="21" spans="1:6" x14ac:dyDescent="0.3">
      <c r="A21" s="9" t="s">
        <v>11</v>
      </c>
      <c r="B21" s="10">
        <v>72</v>
      </c>
      <c r="C21" s="10">
        <v>72</v>
      </c>
      <c r="D21" s="10">
        <v>72</v>
      </c>
      <c r="E21" s="10">
        <v>67</v>
      </c>
      <c r="F21" s="11">
        <v>72</v>
      </c>
    </row>
    <row r="22" spans="1:6" x14ac:dyDescent="0.3">
      <c r="A22" s="9" t="s">
        <v>12</v>
      </c>
      <c r="B22" s="10">
        <v>72</v>
      </c>
      <c r="C22" s="10">
        <v>72</v>
      </c>
      <c r="D22" s="10">
        <v>72</v>
      </c>
      <c r="E22" s="10">
        <v>67</v>
      </c>
      <c r="F22" s="11">
        <v>72</v>
      </c>
    </row>
    <row r="23" spans="1:6" x14ac:dyDescent="0.3">
      <c r="A23" s="9" t="s">
        <v>13</v>
      </c>
      <c r="B23" s="10">
        <v>48</v>
      </c>
      <c r="C23" s="10">
        <v>48</v>
      </c>
      <c r="D23" s="10">
        <v>48</v>
      </c>
      <c r="E23" s="10">
        <v>45</v>
      </c>
      <c r="F23" s="11">
        <v>48</v>
      </c>
    </row>
    <row r="24" spans="1:6" x14ac:dyDescent="0.3">
      <c r="A24" s="9" t="s">
        <v>14</v>
      </c>
      <c r="B24" s="10">
        <v>72</v>
      </c>
      <c r="C24" s="10">
        <v>72</v>
      </c>
      <c r="D24" s="10">
        <v>72</v>
      </c>
      <c r="E24" s="10">
        <v>67</v>
      </c>
      <c r="F24" s="11">
        <v>72</v>
      </c>
    </row>
    <row r="25" spans="1:6" x14ac:dyDescent="0.3">
      <c r="A25" s="9" t="s">
        <v>15</v>
      </c>
      <c r="B25" s="10">
        <v>72</v>
      </c>
      <c r="C25" s="10">
        <v>72</v>
      </c>
      <c r="D25" s="10">
        <v>72</v>
      </c>
      <c r="E25" s="10">
        <v>67</v>
      </c>
      <c r="F25" s="11">
        <v>72</v>
      </c>
    </row>
    <row r="26" spans="1:6" x14ac:dyDescent="0.3">
      <c r="A26" s="9" t="s">
        <v>16</v>
      </c>
      <c r="B26" s="10">
        <v>72</v>
      </c>
      <c r="C26" s="10">
        <v>72</v>
      </c>
      <c r="D26" s="10">
        <v>72</v>
      </c>
      <c r="E26" s="10">
        <v>67</v>
      </c>
      <c r="F26" s="11">
        <v>72</v>
      </c>
    </row>
    <row r="27" spans="1:6" x14ac:dyDescent="0.3">
      <c r="A27" s="12" t="s">
        <v>17</v>
      </c>
      <c r="B27" s="13">
        <v>60</v>
      </c>
      <c r="C27" s="13">
        <v>60</v>
      </c>
      <c r="D27" s="13">
        <v>60</v>
      </c>
      <c r="E27" s="13">
        <v>56</v>
      </c>
      <c r="F27" s="14">
        <v>60</v>
      </c>
    </row>
  </sheetData>
  <sheetProtection algorithmName="SHA-512" hashValue="1uOZYY1lOxr74NfD/oivyJ4RHpJ7i13KOXt0RcRy9NKnT1kSFa/A5Z1oQJ19iTrfk5j7QJcOIBCeiP2+xiKJ3g==" saltValue="ilxUfpcZg8dzez/auwQBSA==" spinCount="100000" sheet="1" objects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Targety</vt:lpstr>
      <vt:lpstr>New_Tree_Concept 2.0</vt:lpstr>
      <vt:lpstr>New_Tree_Concept 1.0</vt:lpstr>
      <vt:lpstr>Sheet7</vt:lpstr>
      <vt:lpstr>4OP</vt:lpstr>
      <vt:lpstr>5OP</vt:lpstr>
      <vt:lpstr>6OP</vt:lpstr>
      <vt:lpstr>8OP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Patryk Pawliczak</dc:creator>
  <cp:lastModifiedBy>Lukasz Zlocki</cp:lastModifiedBy>
  <cp:lastPrinted>2022-10-12T03:54:51Z</cp:lastPrinted>
  <dcterms:created xsi:type="dcterms:W3CDTF">2021-08-02T08:40:30Z</dcterms:created>
  <dcterms:modified xsi:type="dcterms:W3CDTF">2023-04-17T07:54:12Z</dcterms:modified>
</cp:coreProperties>
</file>